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Desktop\"/>
    </mc:Choice>
  </mc:AlternateContent>
  <xr:revisionPtr revIDLastSave="0" documentId="13_ncr:1_{2185FF06-2535-4206-B1AF-E760758B7B19}" xr6:coauthVersionLast="47" xr6:coauthVersionMax="47" xr10:uidLastSave="{00000000-0000-0000-0000-000000000000}"/>
  <bookViews>
    <workbookView xWindow="-120" yWindow="-120" windowWidth="29040" windowHeight="15720" firstSheet="1" activeTab="1" xr2:uid="{00000000-000D-0000-FFFF-FFFF00000000}"/>
  </bookViews>
  <sheets>
    <sheet name="商管公司1月实际" sheetId="1" r:id="rId1"/>
    <sheet name="威高广场1月实际" sheetId="2" r:id="rId2"/>
    <sheet name="威高广场推移表" sheetId="4" r:id="rId3"/>
    <sheet name="1月时间实际" sheetId="3" r:id="rId4"/>
    <sheet name="商管公司2月实际" sheetId="6" r:id="rId5"/>
    <sheet name="威高广场2月实际" sheetId="7" r:id="rId6"/>
    <sheet name="2月时间实际 " sheetId="8" r:id="rId7"/>
    <sheet name="商管公司3月实际" sheetId="10" r:id="rId8"/>
    <sheet name="威高广场3月实际" sheetId="9" r:id="rId9"/>
    <sheet name="3月时间实际" sheetId="11" r:id="rId10"/>
    <sheet name="商管公司4月预定" sheetId="12" r:id="rId11"/>
    <sheet name="威高广场4月预定" sheetId="13" r:id="rId12"/>
    <sheet name="4月时间预定" sheetId="14" r:id="rId13"/>
    <sheet name="科目明细" sheetId="5"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7" i="7" l="1"/>
  <c r="K41" i="2"/>
  <c r="M41" i="2"/>
  <c r="K40" i="2"/>
  <c r="M40" i="2"/>
  <c r="M37" i="2"/>
  <c r="F14" i="1"/>
  <c r="H52" i="4"/>
  <c r="H42" i="4"/>
  <c r="H39" i="4"/>
  <c r="L33" i="4"/>
  <c r="N33" i="4"/>
  <c r="H35" i="4"/>
  <c r="I16" i="4"/>
  <c r="L16" i="4" s="1"/>
  <c r="L9" i="1"/>
  <c r="F10" i="1"/>
  <c r="L5" i="1"/>
  <c r="F6" i="1"/>
  <c r="E39" i="9"/>
  <c r="E39" i="7"/>
  <c r="E42" i="2"/>
  <c r="E39" i="2"/>
  <c r="E57" i="4"/>
  <c r="G56" i="4"/>
  <c r="F56" i="4"/>
  <c r="E56" i="4"/>
  <c r="G54" i="4"/>
  <c r="G53" i="4"/>
  <c r="J52" i="4"/>
  <c r="E52" i="4"/>
  <c r="D52" i="4"/>
  <c r="J51" i="4"/>
  <c r="G51" i="4"/>
  <c r="J50" i="4"/>
  <c r="G50" i="4"/>
  <c r="J49" i="4"/>
  <c r="G49" i="4"/>
  <c r="U47" i="4"/>
  <c r="T47" i="4"/>
  <c r="S47" i="4"/>
  <c r="N47" i="4"/>
  <c r="M47" i="4"/>
  <c r="L47" i="4"/>
  <c r="U46" i="4"/>
  <c r="T46" i="4"/>
  <c r="S46" i="4"/>
  <c r="N46" i="4"/>
  <c r="M46" i="4"/>
  <c r="L46" i="4"/>
  <c r="J46" i="4"/>
  <c r="G46" i="4"/>
  <c r="F46" i="4"/>
  <c r="U45" i="4"/>
  <c r="T45" i="4"/>
  <c r="S45" i="4"/>
  <c r="N45" i="4"/>
  <c r="M45" i="4"/>
  <c r="L45" i="4"/>
  <c r="G45" i="4"/>
  <c r="F45" i="4"/>
  <c r="G44" i="4"/>
  <c r="F44" i="4"/>
  <c r="CM43" i="4"/>
  <c r="CL43" i="4"/>
  <c r="CK43" i="4"/>
  <c r="CI43" i="4"/>
  <c r="V43" i="4"/>
  <c r="Q43" i="4"/>
  <c r="E43" i="4"/>
  <c r="CM42" i="4"/>
  <c r="CL42" i="4"/>
  <c r="CK42" i="4"/>
  <c r="CI42" i="4"/>
  <c r="V42" i="4"/>
  <c r="Q42" i="4"/>
  <c r="P42" i="4"/>
  <c r="O42" i="4"/>
  <c r="E42" i="4"/>
  <c r="D42" i="4"/>
  <c r="CM41" i="4"/>
  <c r="CL41" i="4"/>
  <c r="CK41" i="4"/>
  <c r="V41" i="4"/>
  <c r="Q41" i="4"/>
  <c r="P41" i="4"/>
  <c r="O41" i="4"/>
  <c r="J41" i="4"/>
  <c r="J42" i="4" s="1"/>
  <c r="F41" i="4"/>
  <c r="G41" i="4" s="1"/>
  <c r="CM40" i="4"/>
  <c r="CL40" i="4"/>
  <c r="CK40" i="4"/>
  <c r="V40" i="4"/>
  <c r="Q40" i="4"/>
  <c r="P40" i="4"/>
  <c r="O40" i="4"/>
  <c r="J40" i="4"/>
  <c r="F40" i="4"/>
  <c r="G40" i="4" s="1"/>
  <c r="CM39" i="4"/>
  <c r="CL39" i="4"/>
  <c r="CK39" i="4"/>
  <c r="CI39" i="4"/>
  <c r="V39" i="4"/>
  <c r="Q39" i="4"/>
  <c r="J39" i="4"/>
  <c r="G39" i="4"/>
  <c r="E39" i="4"/>
  <c r="CM38" i="4"/>
  <c r="CL38" i="4"/>
  <c r="CK38" i="4"/>
  <c r="L38" i="4"/>
  <c r="G38" i="4"/>
  <c r="CM37" i="4"/>
  <c r="CL37" i="4"/>
  <c r="CK37" i="4"/>
  <c r="V37" i="4"/>
  <c r="Q37" i="4"/>
  <c r="J37" i="4"/>
  <c r="G37" i="4"/>
  <c r="CM36" i="4"/>
  <c r="CL36" i="4"/>
  <c r="CK36" i="4"/>
  <c r="CI36" i="4"/>
  <c r="CH36" i="4"/>
  <c r="CG36" i="4"/>
  <c r="CF36" i="4"/>
  <c r="CE36" i="4"/>
  <c r="CD36" i="4"/>
  <c r="CB36" i="4"/>
  <c r="CA36" i="4"/>
  <c r="BZ36" i="4"/>
  <c r="BY36" i="4"/>
  <c r="BX36" i="4"/>
  <c r="BW36" i="4"/>
  <c r="BU36" i="4"/>
  <c r="BT36" i="4"/>
  <c r="BS36" i="4"/>
  <c r="BR36" i="4"/>
  <c r="BQ36" i="4"/>
  <c r="BP36" i="4"/>
  <c r="BN36" i="4"/>
  <c r="BM36" i="4"/>
  <c r="BL36" i="4"/>
  <c r="BK36" i="4"/>
  <c r="BJ36" i="4"/>
  <c r="BI36" i="4"/>
  <c r="BG36" i="4"/>
  <c r="BF36" i="4"/>
  <c r="BE36" i="4"/>
  <c r="BD36" i="4"/>
  <c r="BC36" i="4"/>
  <c r="BB36" i="4"/>
  <c r="AZ36" i="4"/>
  <c r="AY36" i="4"/>
  <c r="AX36" i="4"/>
  <c r="AW36" i="4"/>
  <c r="AV36" i="4"/>
  <c r="AU36" i="4"/>
  <c r="AT36" i="4"/>
  <c r="AS36" i="4"/>
  <c r="AR36" i="4"/>
  <c r="AQ36" i="4"/>
  <c r="AP36" i="4"/>
  <c r="AO36" i="4"/>
  <c r="AN36" i="4"/>
  <c r="AM36" i="4"/>
  <c r="AL36" i="4"/>
  <c r="AK36" i="4"/>
  <c r="AJ36" i="4"/>
  <c r="AI36" i="4"/>
  <c r="AH36" i="4"/>
  <c r="AG36" i="4"/>
  <c r="AF36" i="4"/>
  <c r="AE36" i="4"/>
  <c r="AD36" i="4"/>
  <c r="AC36" i="4"/>
  <c r="AB36" i="4"/>
  <c r="AA36" i="4"/>
  <c r="Z36" i="4"/>
  <c r="Y36" i="4"/>
  <c r="X36" i="4"/>
  <c r="W36" i="4"/>
  <c r="V36" i="4"/>
  <c r="U36" i="4"/>
  <c r="T36" i="4"/>
  <c r="S36" i="4"/>
  <c r="R36" i="4"/>
  <c r="Q36" i="4"/>
  <c r="P36" i="4"/>
  <c r="O36" i="4"/>
  <c r="K36" i="4"/>
  <c r="J36" i="4"/>
  <c r="G36" i="4"/>
  <c r="F36" i="4"/>
  <c r="E36" i="4"/>
  <c r="CM35" i="4"/>
  <c r="CL35" i="4"/>
  <c r="CK35" i="4"/>
  <c r="CJ35" i="4"/>
  <c r="CI35" i="4"/>
  <c r="W35" i="4"/>
  <c r="V35" i="4"/>
  <c r="S35" i="4"/>
  <c r="Q35" i="4"/>
  <c r="P35" i="4"/>
  <c r="O35" i="4"/>
  <c r="J35" i="4"/>
  <c r="G35" i="4"/>
  <c r="F35" i="4"/>
  <c r="E35" i="4"/>
  <c r="D35" i="4"/>
  <c r="CM34" i="4"/>
  <c r="CL34" i="4"/>
  <c r="CK34" i="4"/>
  <c r="CJ34" i="4"/>
  <c r="W34" i="4"/>
  <c r="V34" i="4"/>
  <c r="U34" i="4"/>
  <c r="T34" i="4"/>
  <c r="S34" i="4"/>
  <c r="Q34" i="4"/>
  <c r="N34" i="4"/>
  <c r="M34" i="4"/>
  <c r="L34" i="4"/>
  <c r="K34" i="4"/>
  <c r="J34" i="4"/>
  <c r="G34" i="4"/>
  <c r="F34" i="4"/>
  <c r="CM33" i="4"/>
  <c r="CL33" i="4"/>
  <c r="CK33" i="4"/>
  <c r="CJ33" i="4"/>
  <c r="W33" i="4"/>
  <c r="V33" i="4"/>
  <c r="U33" i="4"/>
  <c r="T33" i="4"/>
  <c r="S33" i="4"/>
  <c r="Q33" i="4"/>
  <c r="P33" i="4"/>
  <c r="O33" i="4"/>
  <c r="K33" i="4"/>
  <c r="J33" i="4"/>
  <c r="G33" i="4"/>
  <c r="F33" i="4"/>
  <c r="CM32" i="4"/>
  <c r="CL32" i="4"/>
  <c r="CK32" i="4"/>
  <c r="CJ32" i="4"/>
  <c r="W32" i="4"/>
  <c r="V32" i="4"/>
  <c r="U32" i="4"/>
  <c r="T32" i="4"/>
  <c r="S32" i="4"/>
  <c r="Q32" i="4"/>
  <c r="P32" i="4"/>
  <c r="O32" i="4"/>
  <c r="N32" i="4"/>
  <c r="M32" i="4"/>
  <c r="L32" i="4"/>
  <c r="K32" i="4"/>
  <c r="J32" i="4"/>
  <c r="G32" i="4"/>
  <c r="F32" i="4"/>
  <c r="CM31" i="4"/>
  <c r="CL31" i="4"/>
  <c r="CK31" i="4"/>
  <c r="CJ31" i="4"/>
  <c r="W31" i="4"/>
  <c r="V31" i="4"/>
  <c r="U31" i="4"/>
  <c r="T31" i="4"/>
  <c r="S31" i="4"/>
  <c r="Q31" i="4"/>
  <c r="P31" i="4"/>
  <c r="O31" i="4"/>
  <c r="N31" i="4"/>
  <c r="M31" i="4"/>
  <c r="L31" i="4"/>
  <c r="K31" i="4"/>
  <c r="J31" i="4"/>
  <c r="G31" i="4"/>
  <c r="F31" i="4"/>
  <c r="CM30" i="4"/>
  <c r="CL30" i="4"/>
  <c r="CK30" i="4"/>
  <c r="CJ30" i="4"/>
  <c r="W30" i="4"/>
  <c r="V30" i="4"/>
  <c r="U30" i="4"/>
  <c r="T30" i="4"/>
  <c r="S30" i="4"/>
  <c r="Q30" i="4"/>
  <c r="P30" i="4"/>
  <c r="O30" i="4"/>
  <c r="N30" i="4"/>
  <c r="M30" i="4"/>
  <c r="L30" i="4"/>
  <c r="K30" i="4"/>
  <c r="J30" i="4"/>
  <c r="G30" i="4"/>
  <c r="F30" i="4"/>
  <c r="CM29" i="4"/>
  <c r="CL29" i="4"/>
  <c r="CK29" i="4"/>
  <c r="CJ29" i="4"/>
  <c r="W29" i="4"/>
  <c r="V29" i="4"/>
  <c r="U29" i="4"/>
  <c r="T29" i="4"/>
  <c r="S29" i="4"/>
  <c r="Q29" i="4"/>
  <c r="P29" i="4"/>
  <c r="O29" i="4"/>
  <c r="N29" i="4"/>
  <c r="M29" i="4"/>
  <c r="L29" i="4"/>
  <c r="K29" i="4"/>
  <c r="J29" i="4"/>
  <c r="G29" i="4"/>
  <c r="F29" i="4"/>
  <c r="CM28" i="4"/>
  <c r="CL28" i="4"/>
  <c r="CK28" i="4"/>
  <c r="CJ28" i="4"/>
  <c r="W28" i="4"/>
  <c r="V28" i="4"/>
  <c r="U28" i="4"/>
  <c r="T28" i="4"/>
  <c r="S28" i="4"/>
  <c r="Q28" i="4"/>
  <c r="P28" i="4"/>
  <c r="O28" i="4"/>
  <c r="N28" i="4"/>
  <c r="M28" i="4"/>
  <c r="L28" i="4"/>
  <c r="K28" i="4"/>
  <c r="J28" i="4"/>
  <c r="G28" i="4"/>
  <c r="F28" i="4"/>
  <c r="CM27" i="4"/>
  <c r="CL27" i="4"/>
  <c r="CK27" i="4"/>
  <c r="CJ27" i="4"/>
  <c r="W27" i="4"/>
  <c r="V27" i="4"/>
  <c r="U27" i="4"/>
  <c r="T27" i="4"/>
  <c r="S27" i="4"/>
  <c r="Q27" i="4"/>
  <c r="P27" i="4"/>
  <c r="O27" i="4"/>
  <c r="N27" i="4"/>
  <c r="M27" i="4"/>
  <c r="L27" i="4"/>
  <c r="K27" i="4"/>
  <c r="J27" i="4"/>
  <c r="G27" i="4"/>
  <c r="F27" i="4"/>
  <c r="CM26" i="4"/>
  <c r="CL26" i="4"/>
  <c r="CK26" i="4"/>
  <c r="CJ26" i="4"/>
  <c r="W26" i="4"/>
  <c r="V26" i="4"/>
  <c r="U26" i="4"/>
  <c r="T26" i="4"/>
  <c r="S26" i="4"/>
  <c r="Q26" i="4"/>
  <c r="P26" i="4"/>
  <c r="O26" i="4"/>
  <c r="N26" i="4"/>
  <c r="M26" i="4"/>
  <c r="L26" i="4"/>
  <c r="K26" i="4"/>
  <c r="J26" i="4"/>
  <c r="G26" i="4"/>
  <c r="F26" i="4"/>
  <c r="CM25" i="4"/>
  <c r="CL25" i="4"/>
  <c r="CK25" i="4"/>
  <c r="CJ25" i="4"/>
  <c r="W25" i="4"/>
  <c r="V25" i="4"/>
  <c r="U25" i="4"/>
  <c r="T25" i="4"/>
  <c r="S25" i="4"/>
  <c r="P25" i="4"/>
  <c r="O25" i="4"/>
  <c r="N25" i="4"/>
  <c r="M25" i="4"/>
  <c r="L25" i="4"/>
  <c r="K25" i="4"/>
  <c r="J25" i="4"/>
  <c r="G25" i="4"/>
  <c r="F25" i="4"/>
  <c r="CM24" i="4"/>
  <c r="CL24" i="4"/>
  <c r="CK24" i="4"/>
  <c r="CJ24" i="4"/>
  <c r="W24" i="4"/>
  <c r="V24" i="4"/>
  <c r="U24" i="4"/>
  <c r="T24" i="4"/>
  <c r="S24" i="4"/>
  <c r="Q24" i="4"/>
  <c r="P24" i="4"/>
  <c r="O24" i="4"/>
  <c r="N24" i="4"/>
  <c r="M24" i="4"/>
  <c r="L24" i="4"/>
  <c r="K24" i="4"/>
  <c r="J24" i="4"/>
  <c r="G24" i="4"/>
  <c r="F24" i="4"/>
  <c r="CM23" i="4"/>
  <c r="CL23" i="4"/>
  <c r="CK23" i="4"/>
  <c r="CJ23" i="4"/>
  <c r="W23" i="4"/>
  <c r="V23" i="4"/>
  <c r="U23" i="4"/>
  <c r="T23" i="4"/>
  <c r="S23" i="4"/>
  <c r="Q23" i="4"/>
  <c r="P23" i="4"/>
  <c r="O23" i="4"/>
  <c r="N23" i="4"/>
  <c r="M23" i="4"/>
  <c r="L23" i="4"/>
  <c r="K23" i="4"/>
  <c r="J23" i="4"/>
  <c r="G23" i="4"/>
  <c r="F23" i="4"/>
  <c r="CM22" i="4"/>
  <c r="CL22" i="4"/>
  <c r="CK22" i="4"/>
  <c r="CJ22" i="4"/>
  <c r="W22" i="4"/>
  <c r="V22" i="4"/>
  <c r="U22" i="4"/>
  <c r="T22" i="4"/>
  <c r="S22" i="4"/>
  <c r="Q22" i="4"/>
  <c r="P22" i="4"/>
  <c r="O22" i="4"/>
  <c r="N22" i="4"/>
  <c r="M22" i="4"/>
  <c r="L22" i="4"/>
  <c r="K22" i="4"/>
  <c r="J22" i="4"/>
  <c r="G22" i="4"/>
  <c r="F22" i="4"/>
  <c r="CM21" i="4"/>
  <c r="CL21" i="4"/>
  <c r="CK21" i="4"/>
  <c r="CJ21" i="4"/>
  <c r="W21" i="4"/>
  <c r="V21" i="4"/>
  <c r="U21" i="4"/>
  <c r="T21" i="4"/>
  <c r="S21" i="4"/>
  <c r="Q21" i="4"/>
  <c r="P21" i="4"/>
  <c r="O21" i="4"/>
  <c r="N21" i="4"/>
  <c r="M21" i="4"/>
  <c r="L21" i="4"/>
  <c r="K21" i="4"/>
  <c r="J21" i="4"/>
  <c r="G21" i="4"/>
  <c r="F21" i="4"/>
  <c r="CM20" i="4"/>
  <c r="CL20" i="4"/>
  <c r="CK20" i="4"/>
  <c r="CJ20" i="4"/>
  <c r="W20" i="4"/>
  <c r="V20" i="4"/>
  <c r="U20" i="4"/>
  <c r="T20" i="4"/>
  <c r="S20" i="4"/>
  <c r="Q20" i="4"/>
  <c r="P20" i="4"/>
  <c r="O20" i="4"/>
  <c r="N20" i="4"/>
  <c r="M20" i="4"/>
  <c r="L20" i="4"/>
  <c r="K20" i="4"/>
  <c r="J20" i="4"/>
  <c r="G20" i="4"/>
  <c r="F20" i="4"/>
  <c r="CM19" i="4"/>
  <c r="CL19" i="4"/>
  <c r="CK19" i="4"/>
  <c r="CJ19" i="4"/>
  <c r="W19" i="4"/>
  <c r="V19" i="4"/>
  <c r="U19" i="4"/>
  <c r="T19" i="4"/>
  <c r="S19" i="4"/>
  <c r="Q19" i="4"/>
  <c r="P19" i="4"/>
  <c r="O19" i="4"/>
  <c r="N19" i="4"/>
  <c r="M19" i="4"/>
  <c r="L19" i="4"/>
  <c r="K19" i="4"/>
  <c r="J19" i="4"/>
  <c r="G19" i="4"/>
  <c r="F19" i="4"/>
  <c r="CM18" i="4"/>
  <c r="CL18" i="4"/>
  <c r="CK18" i="4"/>
  <c r="CJ18" i="4"/>
  <c r="W18" i="4"/>
  <c r="V18" i="4"/>
  <c r="U18" i="4"/>
  <c r="T18" i="4"/>
  <c r="S18" i="4"/>
  <c r="Q18" i="4"/>
  <c r="P18" i="4"/>
  <c r="O18" i="4"/>
  <c r="N18" i="4"/>
  <c r="M18" i="4"/>
  <c r="L18" i="4"/>
  <c r="K18" i="4"/>
  <c r="J18" i="4"/>
  <c r="G18" i="4"/>
  <c r="F18" i="4"/>
  <c r="CM17" i="4"/>
  <c r="CL17" i="4"/>
  <c r="CK17" i="4"/>
  <c r="CJ17" i="4"/>
  <c r="W17" i="4"/>
  <c r="V17" i="4"/>
  <c r="U17" i="4"/>
  <c r="T17" i="4"/>
  <c r="S17" i="4"/>
  <c r="Q17" i="4"/>
  <c r="P17" i="4"/>
  <c r="O17" i="4"/>
  <c r="K17" i="4"/>
  <c r="J17" i="4"/>
  <c r="G17" i="4"/>
  <c r="F17" i="4"/>
  <c r="CM16" i="4"/>
  <c r="CL16" i="4"/>
  <c r="CK16" i="4"/>
  <c r="CJ16" i="4"/>
  <c r="CI16"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J16" i="4"/>
  <c r="H16" i="4"/>
  <c r="N16" i="4" s="1"/>
  <c r="G16" i="4"/>
  <c r="F16" i="4"/>
  <c r="E16" i="4"/>
  <c r="D16" i="4"/>
  <c r="CM15" i="4"/>
  <c r="CL15" i="4"/>
  <c r="CK15" i="4"/>
  <c r="CJ15" i="4"/>
  <c r="W15" i="4"/>
  <c r="V15" i="4"/>
  <c r="U15" i="4"/>
  <c r="T15" i="4"/>
  <c r="S15" i="4"/>
  <c r="Q15" i="4"/>
  <c r="P15" i="4"/>
  <c r="O15" i="4"/>
  <c r="N15" i="4"/>
  <c r="M15" i="4"/>
  <c r="L15" i="4"/>
  <c r="K15" i="4"/>
  <c r="J15" i="4"/>
  <c r="G15" i="4"/>
  <c r="F15" i="4"/>
  <c r="CM14" i="4"/>
  <c r="CL14" i="4"/>
  <c r="CK14" i="4"/>
  <c r="CJ14" i="4"/>
  <c r="W14" i="4"/>
  <c r="V14" i="4"/>
  <c r="U14" i="4"/>
  <c r="T14" i="4"/>
  <c r="S14" i="4"/>
  <c r="Q14" i="4"/>
  <c r="P14" i="4"/>
  <c r="O14" i="4"/>
  <c r="N14" i="4"/>
  <c r="M14" i="4"/>
  <c r="L14" i="4"/>
  <c r="K14" i="4"/>
  <c r="J14" i="4"/>
  <c r="G14" i="4"/>
  <c r="F14" i="4"/>
  <c r="CM13" i="4"/>
  <c r="CL13" i="4"/>
  <c r="CK13" i="4"/>
  <c r="CJ13" i="4"/>
  <c r="W13" i="4"/>
  <c r="V13" i="4"/>
  <c r="U13" i="4"/>
  <c r="T13" i="4"/>
  <c r="S13" i="4"/>
  <c r="Q13" i="4"/>
  <c r="P13" i="4"/>
  <c r="O13" i="4"/>
  <c r="N13" i="4"/>
  <c r="M13" i="4"/>
  <c r="L13" i="4"/>
  <c r="K13" i="4"/>
  <c r="J13" i="4"/>
  <c r="G13" i="4"/>
  <c r="F13" i="4"/>
  <c r="CM12" i="4"/>
  <c r="CL12" i="4"/>
  <c r="CK12" i="4"/>
  <c r="CJ12" i="4"/>
  <c r="W12" i="4"/>
  <c r="V12" i="4"/>
  <c r="U12" i="4"/>
  <c r="T12" i="4"/>
  <c r="S12" i="4"/>
  <c r="Q12" i="4"/>
  <c r="P12" i="4"/>
  <c r="O12" i="4"/>
  <c r="N12" i="4"/>
  <c r="L12" i="4"/>
  <c r="K12" i="4"/>
  <c r="J12" i="4"/>
  <c r="G12" i="4"/>
  <c r="F12" i="4"/>
  <c r="CM11" i="4"/>
  <c r="CL11" i="4"/>
  <c r="CK11" i="4"/>
  <c r="CJ11" i="4"/>
  <c r="W11" i="4"/>
  <c r="V11" i="4"/>
  <c r="U11" i="4"/>
  <c r="T11" i="4"/>
  <c r="S11" i="4"/>
  <c r="Q11" i="4"/>
  <c r="P11" i="4"/>
  <c r="N11" i="4"/>
  <c r="M11" i="4"/>
  <c r="L11" i="4"/>
  <c r="K11" i="4"/>
  <c r="J11" i="4"/>
  <c r="G11" i="4"/>
  <c r="F11" i="4"/>
  <c r="W10" i="4"/>
  <c r="V10" i="4"/>
  <c r="U10" i="4"/>
  <c r="T10" i="4"/>
  <c r="S10" i="4"/>
  <c r="Q10" i="4"/>
  <c r="P10" i="4"/>
  <c r="O10" i="4"/>
  <c r="N10" i="4"/>
  <c r="M10" i="4"/>
  <c r="L10" i="4"/>
  <c r="K10" i="4"/>
  <c r="J10" i="4"/>
  <c r="G10" i="4"/>
  <c r="F10" i="4"/>
  <c r="CM9" i="4"/>
  <c r="CL9" i="4"/>
  <c r="CK9" i="4"/>
  <c r="CJ9" i="4"/>
  <c r="W9" i="4"/>
  <c r="V9" i="4"/>
  <c r="U9" i="4"/>
  <c r="T9" i="4"/>
  <c r="S9" i="4"/>
  <c r="Q9" i="4"/>
  <c r="P9" i="4"/>
  <c r="O9" i="4"/>
  <c r="N9" i="4"/>
  <c r="M9" i="4"/>
  <c r="L9" i="4"/>
  <c r="K9" i="4"/>
  <c r="J9" i="4"/>
  <c r="G9" i="4"/>
  <c r="F9" i="4"/>
  <c r="CM8" i="4"/>
  <c r="CL8" i="4"/>
  <c r="CK8" i="4"/>
  <c r="CJ8" i="4"/>
  <c r="W8" i="4"/>
  <c r="V8" i="4"/>
  <c r="U8" i="4"/>
  <c r="T8" i="4"/>
  <c r="S8" i="4"/>
  <c r="Q8" i="4"/>
  <c r="P8" i="4"/>
  <c r="O8" i="4"/>
  <c r="N8" i="4"/>
  <c r="M8" i="4"/>
  <c r="L8" i="4"/>
  <c r="K8" i="4"/>
  <c r="J8" i="4"/>
  <c r="G8" i="4"/>
  <c r="F8" i="4"/>
  <c r="W7" i="4"/>
  <c r="V7" i="4"/>
  <c r="U7" i="4"/>
  <c r="T7" i="4"/>
  <c r="S7" i="4"/>
  <c r="Q7" i="4"/>
  <c r="P7" i="4"/>
  <c r="O7" i="4"/>
  <c r="N7" i="4"/>
  <c r="M7" i="4"/>
  <c r="L7" i="4"/>
  <c r="K7" i="4"/>
  <c r="J7" i="4"/>
  <c r="I7" i="4"/>
  <c r="H7" i="4"/>
  <c r="G7" i="4"/>
  <c r="F7" i="4"/>
  <c r="E7" i="4"/>
  <c r="D7" i="4"/>
  <c r="CM6" i="4"/>
  <c r="CL6" i="4"/>
  <c r="CK6" i="4"/>
  <c r="CJ6" i="4"/>
  <c r="W6" i="4"/>
  <c r="V6" i="4"/>
  <c r="U6" i="4"/>
  <c r="T6" i="4"/>
  <c r="S6" i="4"/>
  <c r="Q6" i="4"/>
  <c r="P6" i="4"/>
  <c r="O6" i="4"/>
  <c r="N6" i="4"/>
  <c r="M6" i="4"/>
  <c r="L6" i="4"/>
  <c r="K6" i="4"/>
  <c r="J6" i="4"/>
  <c r="G6" i="4"/>
  <c r="F6" i="4"/>
  <c r="CM5" i="4"/>
  <c r="CL5" i="4"/>
  <c r="CK5" i="4"/>
  <c r="CJ5" i="4"/>
  <c r="W5" i="4"/>
  <c r="V5" i="4"/>
  <c r="U5" i="4"/>
  <c r="T5" i="4"/>
  <c r="S5" i="4"/>
  <c r="Q5" i="4"/>
  <c r="P5" i="4"/>
  <c r="O5" i="4"/>
  <c r="N5" i="4"/>
  <c r="M5" i="4"/>
  <c r="L5" i="4"/>
  <c r="K5" i="4"/>
  <c r="J5" i="4"/>
  <c r="G5" i="4"/>
  <c r="F5" i="4"/>
  <c r="CM4" i="4"/>
  <c r="CL4" i="4"/>
  <c r="CK4" i="4"/>
  <c r="CJ4" i="4"/>
  <c r="W4" i="4"/>
  <c r="V4" i="4"/>
  <c r="U4" i="4"/>
  <c r="T4" i="4"/>
  <c r="S4" i="4"/>
  <c r="Q4" i="4"/>
  <c r="P4" i="4"/>
  <c r="O4" i="4"/>
  <c r="N4" i="4"/>
  <c r="M4" i="4"/>
  <c r="L4" i="4"/>
  <c r="K4" i="4"/>
  <c r="J4" i="4"/>
  <c r="G4" i="4"/>
  <c r="F4" i="4"/>
  <c r="D21" i="14"/>
  <c r="C21" i="14"/>
  <c r="B21" i="14"/>
  <c r="D18" i="14"/>
  <c r="C18" i="14"/>
  <c r="B18" i="14"/>
  <c r="G57" i="13"/>
  <c r="F57" i="13"/>
  <c r="E57" i="13"/>
  <c r="G56" i="13"/>
  <c r="F56" i="13"/>
  <c r="E56" i="13"/>
  <c r="E55" i="13"/>
  <c r="E54" i="13"/>
  <c r="E53" i="13"/>
  <c r="E52" i="13"/>
  <c r="E51" i="13"/>
  <c r="E50" i="13"/>
  <c r="E48" i="13"/>
  <c r="E47" i="13"/>
  <c r="E46" i="13"/>
  <c r="E45" i="13"/>
  <c r="E44" i="13"/>
  <c r="M43" i="13"/>
  <c r="L43" i="13"/>
  <c r="K43" i="13"/>
  <c r="G43" i="13"/>
  <c r="F43" i="13"/>
  <c r="E43" i="13"/>
  <c r="E42" i="13"/>
  <c r="E41" i="13"/>
  <c r="E40" i="13"/>
  <c r="E39" i="13"/>
  <c r="E38" i="13"/>
  <c r="E37" i="13"/>
  <c r="E36" i="13"/>
  <c r="E35" i="13"/>
  <c r="N34" i="13"/>
  <c r="E34" i="13"/>
  <c r="N33" i="13"/>
  <c r="E33" i="13"/>
  <c r="N32" i="13"/>
  <c r="E32" i="13"/>
  <c r="N31" i="13"/>
  <c r="E31" i="13"/>
  <c r="E30" i="13"/>
  <c r="N29" i="13"/>
  <c r="E29" i="13"/>
  <c r="N28" i="13"/>
  <c r="E28" i="13"/>
  <c r="N27" i="13"/>
  <c r="E27" i="13"/>
  <c r="N26" i="13"/>
  <c r="E26" i="13"/>
  <c r="E25" i="13"/>
  <c r="N24" i="13"/>
  <c r="E24" i="13"/>
  <c r="N23" i="13"/>
  <c r="E23" i="13"/>
  <c r="N22" i="13"/>
  <c r="E22" i="13"/>
  <c r="N21" i="13"/>
  <c r="E21" i="13"/>
  <c r="N20" i="13"/>
  <c r="E20" i="13"/>
  <c r="N19" i="13"/>
  <c r="E19" i="13"/>
  <c r="N18" i="13"/>
  <c r="E18" i="13"/>
  <c r="N17" i="13"/>
  <c r="E17" i="13"/>
  <c r="N16" i="13"/>
  <c r="E16" i="13"/>
  <c r="N15" i="13"/>
  <c r="E15" i="13"/>
  <c r="N14" i="13"/>
  <c r="E14" i="13"/>
  <c r="N13" i="13"/>
  <c r="E13" i="13"/>
  <c r="N12" i="13"/>
  <c r="E12" i="13"/>
  <c r="N11" i="13"/>
  <c r="E11" i="13"/>
  <c r="N10" i="13"/>
  <c r="E10" i="13"/>
  <c r="N9" i="13"/>
  <c r="E9" i="13"/>
  <c r="N8" i="13"/>
  <c r="E8" i="13"/>
  <c r="N7" i="13"/>
  <c r="E7" i="13"/>
  <c r="N6" i="13"/>
  <c r="E6" i="13"/>
  <c r="N5" i="13"/>
  <c r="E5" i="13"/>
  <c r="N4" i="13"/>
  <c r="E4" i="13"/>
  <c r="N3" i="13"/>
  <c r="E3" i="13"/>
  <c r="E15" i="12"/>
  <c r="E14" i="12"/>
  <c r="E13" i="12"/>
  <c r="E12" i="12"/>
  <c r="N11" i="12"/>
  <c r="E11" i="12"/>
  <c r="N10" i="12"/>
  <c r="E10" i="12"/>
  <c r="N9" i="12"/>
  <c r="E9" i="12"/>
  <c r="N8" i="12"/>
  <c r="E8" i="12"/>
  <c r="N7" i="12"/>
  <c r="E7" i="12"/>
  <c r="N6" i="12"/>
  <c r="E6" i="12"/>
  <c r="N5" i="12"/>
  <c r="E5" i="12"/>
  <c r="N4" i="12"/>
  <c r="E4" i="12"/>
  <c r="N3" i="12"/>
  <c r="E3" i="12"/>
  <c r="D21" i="11"/>
  <c r="C21" i="11"/>
  <c r="B21" i="11"/>
  <c r="D18" i="11"/>
  <c r="C18" i="11"/>
  <c r="B18" i="11"/>
  <c r="G16" i="10"/>
  <c r="F16" i="10"/>
  <c r="E16" i="10"/>
  <c r="G15" i="10"/>
  <c r="F15" i="10"/>
  <c r="E15" i="10"/>
  <c r="G14" i="10"/>
  <c r="F14" i="10"/>
  <c r="E14" i="10"/>
  <c r="G13" i="10"/>
  <c r="F13" i="10"/>
  <c r="E13" i="10"/>
  <c r="G12" i="10"/>
  <c r="F12" i="10"/>
  <c r="E12" i="10"/>
  <c r="N11" i="10"/>
  <c r="G11" i="10"/>
  <c r="F11" i="10"/>
  <c r="E11" i="10"/>
  <c r="N10" i="10"/>
  <c r="G10" i="10"/>
  <c r="F10" i="10"/>
  <c r="E10" i="10"/>
  <c r="N9" i="10"/>
  <c r="H9" i="10"/>
  <c r="G9" i="10"/>
  <c r="F9" i="10"/>
  <c r="E9" i="10"/>
  <c r="N8" i="10"/>
  <c r="H8" i="10"/>
  <c r="E8" i="10"/>
  <c r="N7" i="10"/>
  <c r="H7" i="10"/>
  <c r="E7" i="10"/>
  <c r="N6" i="10"/>
  <c r="G6" i="10"/>
  <c r="F6" i="10"/>
  <c r="E6" i="10"/>
  <c r="N5" i="10"/>
  <c r="H5" i="10"/>
  <c r="G5" i="10"/>
  <c r="F5" i="10"/>
  <c r="E5" i="10"/>
  <c r="N4" i="10"/>
  <c r="H4" i="10"/>
  <c r="E4" i="10"/>
  <c r="N3" i="10"/>
  <c r="H3" i="10"/>
  <c r="E3" i="10"/>
  <c r="F21" i="8"/>
  <c r="E21" i="8"/>
  <c r="D21" i="8"/>
  <c r="C21" i="8"/>
  <c r="B21" i="8"/>
  <c r="F18" i="8"/>
  <c r="E18" i="8"/>
  <c r="D18" i="8"/>
  <c r="C18" i="8"/>
  <c r="B18" i="8"/>
  <c r="I57" i="7"/>
  <c r="G57" i="7"/>
  <c r="F57" i="7"/>
  <c r="G56" i="7"/>
  <c r="F56" i="7"/>
  <c r="N48" i="7"/>
  <c r="M48" i="7"/>
  <c r="L48" i="7"/>
  <c r="K48" i="7"/>
  <c r="N47" i="7"/>
  <c r="M47" i="7"/>
  <c r="L47" i="7"/>
  <c r="K47" i="7"/>
  <c r="E47" i="7"/>
  <c r="N46" i="7"/>
  <c r="M46" i="7"/>
  <c r="L46" i="7"/>
  <c r="K46" i="7"/>
  <c r="E46" i="7"/>
  <c r="K45" i="7"/>
  <c r="E45" i="7"/>
  <c r="K44" i="7"/>
  <c r="E44" i="7"/>
  <c r="M43" i="7"/>
  <c r="L43" i="7"/>
  <c r="K43" i="7"/>
  <c r="I43" i="7"/>
  <c r="G43" i="7"/>
  <c r="F43" i="7"/>
  <c r="M42" i="7"/>
  <c r="L42" i="7"/>
  <c r="K42" i="7"/>
  <c r="I42" i="7"/>
  <c r="G42" i="7"/>
  <c r="F42" i="7"/>
  <c r="E42" i="7"/>
  <c r="E43" i="7" s="1"/>
  <c r="M41" i="7"/>
  <c r="L41" i="7"/>
  <c r="K41" i="7"/>
  <c r="I41" i="7"/>
  <c r="G41" i="7"/>
  <c r="F41" i="7"/>
  <c r="E41" i="7"/>
  <c r="M40" i="7"/>
  <c r="L40" i="7"/>
  <c r="K40" i="7"/>
  <c r="I40" i="7"/>
  <c r="G40" i="7"/>
  <c r="F40" i="7"/>
  <c r="E40" i="7"/>
  <c r="G39" i="7"/>
  <c r="F39" i="7"/>
  <c r="M38" i="7"/>
  <c r="L38" i="7"/>
  <c r="K38" i="7"/>
  <c r="F37" i="7"/>
  <c r="I36" i="7"/>
  <c r="G36" i="7"/>
  <c r="F36" i="7"/>
  <c r="E36" i="7"/>
  <c r="I35" i="7"/>
  <c r="G35" i="7"/>
  <c r="F35" i="7"/>
  <c r="E35" i="7"/>
  <c r="N34" i="7"/>
  <c r="M34" i="7"/>
  <c r="L34" i="7"/>
  <c r="K34" i="7"/>
  <c r="J34" i="7"/>
  <c r="H34" i="7"/>
  <c r="E34" i="7"/>
  <c r="N33" i="7"/>
  <c r="M33" i="7"/>
  <c r="L33" i="7"/>
  <c r="K33" i="7"/>
  <c r="J33" i="7"/>
  <c r="H33" i="7"/>
  <c r="E33" i="7"/>
  <c r="N32" i="7"/>
  <c r="M32" i="7"/>
  <c r="L32" i="7"/>
  <c r="K32" i="7"/>
  <c r="J32" i="7"/>
  <c r="H32" i="7"/>
  <c r="E32" i="7"/>
  <c r="N31" i="7"/>
  <c r="M31" i="7"/>
  <c r="L31" i="7"/>
  <c r="K31" i="7"/>
  <c r="J31" i="7"/>
  <c r="H31" i="7"/>
  <c r="E31" i="7"/>
  <c r="N30" i="7"/>
  <c r="M30" i="7"/>
  <c r="L30" i="7"/>
  <c r="K30" i="7"/>
  <c r="J30" i="7"/>
  <c r="H30" i="7"/>
  <c r="E30" i="7"/>
  <c r="N29" i="7"/>
  <c r="M29" i="7"/>
  <c r="L29" i="7"/>
  <c r="K29" i="7"/>
  <c r="J29" i="7"/>
  <c r="H29" i="7"/>
  <c r="E29" i="7"/>
  <c r="N28" i="7"/>
  <c r="M28" i="7"/>
  <c r="L28" i="7"/>
  <c r="K28" i="7"/>
  <c r="J28" i="7"/>
  <c r="H28" i="7"/>
  <c r="E28" i="7"/>
  <c r="N27" i="7"/>
  <c r="M27" i="7"/>
  <c r="L27" i="7"/>
  <c r="K27" i="7"/>
  <c r="J27" i="7"/>
  <c r="H27" i="7"/>
  <c r="E27" i="7"/>
  <c r="N26" i="7"/>
  <c r="M26" i="7"/>
  <c r="L26" i="7"/>
  <c r="K26" i="7"/>
  <c r="J26" i="7"/>
  <c r="H26" i="7"/>
  <c r="E26" i="7"/>
  <c r="N25" i="7"/>
  <c r="M25" i="7"/>
  <c r="L25" i="7"/>
  <c r="K25" i="7"/>
  <c r="J25" i="7"/>
  <c r="H25" i="7"/>
  <c r="E25" i="7"/>
  <c r="M24" i="7"/>
  <c r="L24" i="7"/>
  <c r="K24" i="7"/>
  <c r="J24" i="7"/>
  <c r="H24" i="7"/>
  <c r="E24" i="7"/>
  <c r="N23" i="7"/>
  <c r="M23" i="7"/>
  <c r="L23" i="7"/>
  <c r="K23" i="7"/>
  <c r="J23" i="7"/>
  <c r="H23" i="7"/>
  <c r="E23" i="7"/>
  <c r="N22" i="7"/>
  <c r="M22" i="7"/>
  <c r="L22" i="7"/>
  <c r="K22" i="7"/>
  <c r="J22" i="7"/>
  <c r="H22" i="7"/>
  <c r="E22" i="7"/>
  <c r="N21" i="7"/>
  <c r="M21" i="7"/>
  <c r="L21" i="7"/>
  <c r="K21" i="7"/>
  <c r="J21" i="7"/>
  <c r="H21" i="7"/>
  <c r="E21" i="7"/>
  <c r="N20" i="7"/>
  <c r="M20" i="7"/>
  <c r="L20" i="7"/>
  <c r="K20" i="7"/>
  <c r="J20" i="7"/>
  <c r="H20" i="7"/>
  <c r="E20" i="7"/>
  <c r="N19" i="7"/>
  <c r="M19" i="7"/>
  <c r="L19" i="7"/>
  <c r="K19" i="7"/>
  <c r="J19" i="7"/>
  <c r="H19" i="7"/>
  <c r="E19" i="7"/>
  <c r="N18" i="7"/>
  <c r="M18" i="7"/>
  <c r="L18" i="7"/>
  <c r="K18" i="7"/>
  <c r="J18" i="7"/>
  <c r="H18" i="7"/>
  <c r="E18" i="7"/>
  <c r="N17" i="7"/>
  <c r="M17" i="7"/>
  <c r="L17" i="7"/>
  <c r="K17" i="7"/>
  <c r="J17" i="7"/>
  <c r="H17" i="7"/>
  <c r="E17" i="7"/>
  <c r="N16" i="7"/>
  <c r="M16" i="7"/>
  <c r="L16" i="7"/>
  <c r="K16" i="7"/>
  <c r="J16" i="7"/>
  <c r="N15" i="7"/>
  <c r="M15" i="7"/>
  <c r="L15" i="7"/>
  <c r="K15" i="7"/>
  <c r="I15" i="7"/>
  <c r="G15" i="7"/>
  <c r="F15" i="7"/>
  <c r="E15" i="7"/>
  <c r="N14" i="7"/>
  <c r="M14" i="7"/>
  <c r="L14" i="7"/>
  <c r="K14" i="7"/>
  <c r="J14" i="7"/>
  <c r="H14" i="7"/>
  <c r="E14" i="7"/>
  <c r="N13" i="7"/>
  <c r="M13" i="7"/>
  <c r="L13" i="7"/>
  <c r="K13" i="7"/>
  <c r="J13" i="7"/>
  <c r="H13" i="7"/>
  <c r="N12" i="7"/>
  <c r="M12" i="7"/>
  <c r="L12" i="7"/>
  <c r="K12" i="7"/>
  <c r="J12" i="7"/>
  <c r="H12" i="7"/>
  <c r="E12" i="7"/>
  <c r="N11" i="7"/>
  <c r="M11" i="7"/>
  <c r="L11" i="7"/>
  <c r="K11" i="7"/>
  <c r="J11" i="7"/>
  <c r="H11" i="7"/>
  <c r="E11" i="7"/>
  <c r="N10" i="7"/>
  <c r="M10" i="7"/>
  <c r="L10" i="7"/>
  <c r="K10" i="7"/>
  <c r="J10" i="7"/>
  <c r="H10" i="7"/>
  <c r="E10" i="7"/>
  <c r="N9" i="7"/>
  <c r="M9" i="7"/>
  <c r="L9" i="7"/>
  <c r="K9" i="7"/>
  <c r="J9" i="7"/>
  <c r="H9" i="7"/>
  <c r="E9" i="7"/>
  <c r="N8" i="7"/>
  <c r="M8" i="7"/>
  <c r="L8" i="7"/>
  <c r="K8" i="7"/>
  <c r="J8" i="7"/>
  <c r="H8" i="7"/>
  <c r="E8" i="7"/>
  <c r="N7" i="7"/>
  <c r="M7" i="7"/>
  <c r="L7" i="7"/>
  <c r="K7" i="7"/>
  <c r="J7" i="7"/>
  <c r="H7" i="7"/>
  <c r="E7" i="7"/>
  <c r="N6" i="7"/>
  <c r="M6" i="7"/>
  <c r="L6" i="7"/>
  <c r="K6" i="7"/>
  <c r="J6" i="7"/>
  <c r="I6" i="7"/>
  <c r="H6" i="7"/>
  <c r="G6" i="7"/>
  <c r="F6" i="7"/>
  <c r="E6" i="7"/>
  <c r="N5" i="7"/>
  <c r="M5" i="7"/>
  <c r="L5" i="7"/>
  <c r="K5" i="7"/>
  <c r="J5" i="7"/>
  <c r="H5" i="7"/>
  <c r="E5" i="7"/>
  <c r="N4" i="7"/>
  <c r="M4" i="7"/>
  <c r="L4" i="7"/>
  <c r="K4" i="7"/>
  <c r="J4" i="7"/>
  <c r="H4" i="7"/>
  <c r="E4" i="7"/>
  <c r="N3" i="7"/>
  <c r="M3" i="7"/>
  <c r="L3" i="7"/>
  <c r="K3" i="7"/>
  <c r="J3" i="7"/>
  <c r="H3" i="7"/>
  <c r="E3" i="7"/>
  <c r="N19" i="6"/>
  <c r="M19" i="6"/>
  <c r="N18" i="6"/>
  <c r="M18" i="6"/>
  <c r="N17" i="6"/>
  <c r="M17" i="6"/>
  <c r="J16" i="6"/>
  <c r="J15" i="6"/>
  <c r="H15" i="6"/>
  <c r="L14" i="6"/>
  <c r="J14" i="6"/>
  <c r="H14" i="6"/>
  <c r="E14" i="6"/>
  <c r="L13" i="6"/>
  <c r="J13" i="6"/>
  <c r="H13" i="6"/>
  <c r="E13" i="6"/>
  <c r="L12" i="6"/>
  <c r="J12" i="6"/>
  <c r="H12" i="6"/>
  <c r="E12" i="6"/>
  <c r="J11" i="6"/>
  <c r="H11" i="6"/>
  <c r="G11" i="6"/>
  <c r="F11" i="6"/>
  <c r="N10" i="6"/>
  <c r="M10" i="6"/>
  <c r="L10" i="6"/>
  <c r="J10" i="6"/>
  <c r="H10" i="6"/>
  <c r="F10" i="6"/>
  <c r="N9" i="6"/>
  <c r="M9" i="6"/>
  <c r="L9" i="6"/>
  <c r="K9" i="6"/>
  <c r="J9" i="6"/>
  <c r="I9" i="6"/>
  <c r="H9" i="6"/>
  <c r="F9" i="6"/>
  <c r="E9" i="6"/>
  <c r="E10" i="6" s="1"/>
  <c r="O10" i="6" s="1"/>
  <c r="O8" i="6"/>
  <c r="N8" i="6"/>
  <c r="M8" i="6"/>
  <c r="L8" i="6"/>
  <c r="K8" i="6"/>
  <c r="I8" i="6"/>
  <c r="E8" i="6"/>
  <c r="O7" i="6"/>
  <c r="N7" i="6"/>
  <c r="M7" i="6"/>
  <c r="L7" i="6"/>
  <c r="K7" i="6"/>
  <c r="I7" i="6"/>
  <c r="E7" i="6"/>
  <c r="N6" i="6"/>
  <c r="M6" i="6"/>
  <c r="L6" i="6"/>
  <c r="J6" i="6"/>
  <c r="H6" i="6"/>
  <c r="F6" i="6"/>
  <c r="N5" i="6"/>
  <c r="M5" i="6"/>
  <c r="L5" i="6"/>
  <c r="K5" i="6"/>
  <c r="J5" i="6"/>
  <c r="I5" i="6"/>
  <c r="H5" i="6"/>
  <c r="F5" i="6"/>
  <c r="E5" i="6"/>
  <c r="E6" i="6" s="1"/>
  <c r="O4" i="6"/>
  <c r="N4" i="6"/>
  <c r="M4" i="6"/>
  <c r="L4" i="6"/>
  <c r="K4" i="6"/>
  <c r="I4" i="6"/>
  <c r="E4" i="6"/>
  <c r="O3" i="6"/>
  <c r="N3" i="6"/>
  <c r="M3" i="6"/>
  <c r="L3" i="6"/>
  <c r="K3" i="6"/>
  <c r="I3" i="6"/>
  <c r="E3" i="6"/>
  <c r="F21" i="3"/>
  <c r="E21" i="3"/>
  <c r="D21" i="3"/>
  <c r="C21" i="3"/>
  <c r="B21" i="3"/>
  <c r="F18" i="3"/>
  <c r="E18" i="3"/>
  <c r="D18" i="3"/>
  <c r="C18" i="3"/>
  <c r="B18" i="3"/>
  <c r="G56" i="2"/>
  <c r="F56" i="2"/>
  <c r="M47" i="2"/>
  <c r="L47" i="2"/>
  <c r="K47" i="2"/>
  <c r="M46" i="2"/>
  <c r="L46" i="2"/>
  <c r="K46" i="2"/>
  <c r="I42" i="2"/>
  <c r="I57" i="2" s="1"/>
  <c r="I39" i="2"/>
  <c r="G39" i="2"/>
  <c r="K39" i="2" s="1"/>
  <c r="K38" i="2"/>
  <c r="L37" i="2"/>
  <c r="K37" i="2"/>
  <c r="K36" i="2"/>
  <c r="J36" i="2"/>
  <c r="I36" i="2"/>
  <c r="G36" i="2"/>
  <c r="F36" i="2"/>
  <c r="K35" i="2"/>
  <c r="I35" i="2"/>
  <c r="G35" i="2"/>
  <c r="F35" i="2"/>
  <c r="L34" i="2"/>
  <c r="K34" i="2"/>
  <c r="J34" i="2"/>
  <c r="H34" i="2"/>
  <c r="L33" i="2"/>
  <c r="K33" i="2"/>
  <c r="J33" i="2"/>
  <c r="H33" i="2"/>
  <c r="L32" i="2"/>
  <c r="K32" i="2"/>
  <c r="J32" i="2"/>
  <c r="I32" i="2"/>
  <c r="H32" i="2"/>
  <c r="L31" i="2"/>
  <c r="K31" i="2"/>
  <c r="J31" i="2"/>
  <c r="I31" i="2"/>
  <c r="H31" i="2"/>
  <c r="L30" i="2"/>
  <c r="K30" i="2"/>
  <c r="J30" i="2"/>
  <c r="I30" i="2"/>
  <c r="H30" i="2"/>
  <c r="L29" i="2"/>
  <c r="K29" i="2"/>
  <c r="J29" i="2"/>
  <c r="I29" i="2"/>
  <c r="H29" i="2"/>
  <c r="L28" i="2"/>
  <c r="K28" i="2"/>
  <c r="J28" i="2"/>
  <c r="H28" i="2"/>
  <c r="L27" i="2"/>
  <c r="K27" i="2"/>
  <c r="J27" i="2"/>
  <c r="H27" i="2"/>
  <c r="L26" i="2"/>
  <c r="K26" i="2"/>
  <c r="J26" i="2"/>
  <c r="H26" i="2"/>
  <c r="L25" i="2"/>
  <c r="K25" i="2"/>
  <c r="J25" i="2"/>
  <c r="H25" i="2"/>
  <c r="L24" i="2"/>
  <c r="K24" i="2"/>
  <c r="J24" i="2"/>
  <c r="H24" i="2"/>
  <c r="L23" i="2"/>
  <c r="K23" i="2"/>
  <c r="J23" i="2"/>
  <c r="H23" i="2"/>
  <c r="L22" i="2"/>
  <c r="K22" i="2"/>
  <c r="J22" i="2"/>
  <c r="H22" i="2"/>
  <c r="L21" i="2"/>
  <c r="K21" i="2"/>
  <c r="J21" i="2"/>
  <c r="H21" i="2"/>
  <c r="L20" i="2"/>
  <c r="K20" i="2"/>
  <c r="J20" i="2"/>
  <c r="H20" i="2"/>
  <c r="L19" i="2"/>
  <c r="K19" i="2"/>
  <c r="J19" i="2"/>
  <c r="H19" i="2"/>
  <c r="L18" i="2"/>
  <c r="K18" i="2"/>
  <c r="J18" i="2"/>
  <c r="H18" i="2"/>
  <c r="L17" i="2"/>
  <c r="K17" i="2"/>
  <c r="J17" i="2"/>
  <c r="H17" i="2"/>
  <c r="J16" i="2"/>
  <c r="L15" i="2"/>
  <c r="K15" i="2"/>
  <c r="I15" i="2"/>
  <c r="G15" i="2"/>
  <c r="F15" i="2"/>
  <c r="L14" i="2"/>
  <c r="K14" i="2"/>
  <c r="J14" i="2"/>
  <c r="H14" i="2"/>
  <c r="L13" i="2"/>
  <c r="K13" i="2"/>
  <c r="J13" i="2"/>
  <c r="H13" i="2"/>
  <c r="L12" i="2"/>
  <c r="K12" i="2"/>
  <c r="J12" i="2"/>
  <c r="H12" i="2"/>
  <c r="L11" i="2"/>
  <c r="K11" i="2"/>
  <c r="J11" i="2"/>
  <c r="H11" i="2"/>
  <c r="L10" i="2"/>
  <c r="K10" i="2"/>
  <c r="J10" i="2"/>
  <c r="H10" i="2"/>
  <c r="L9" i="2"/>
  <c r="K9" i="2"/>
  <c r="J9" i="2"/>
  <c r="H9" i="2"/>
  <c r="L8" i="2"/>
  <c r="K8" i="2"/>
  <c r="J8" i="2"/>
  <c r="H8" i="2"/>
  <c r="L7" i="2"/>
  <c r="K7" i="2"/>
  <c r="J7" i="2"/>
  <c r="H7" i="2"/>
  <c r="L6" i="2"/>
  <c r="K6" i="2"/>
  <c r="J6" i="2"/>
  <c r="I6" i="2"/>
  <c r="H6" i="2"/>
  <c r="G6" i="2"/>
  <c r="F6" i="2"/>
  <c r="L5" i="2"/>
  <c r="K5" i="2"/>
  <c r="J5" i="2"/>
  <c r="H5" i="2"/>
  <c r="L4" i="2"/>
  <c r="K4" i="2"/>
  <c r="J4" i="2"/>
  <c r="H4" i="2"/>
  <c r="L3" i="2"/>
  <c r="K3" i="2"/>
  <c r="J3" i="2"/>
  <c r="H3" i="2"/>
  <c r="M19" i="1"/>
  <c r="L19" i="1"/>
  <c r="M18" i="1"/>
  <c r="L18" i="1"/>
  <c r="M17" i="1"/>
  <c r="L17" i="1"/>
  <c r="H15" i="1"/>
  <c r="I14" i="1"/>
  <c r="I24" i="1" s="1"/>
  <c r="K13" i="1"/>
  <c r="K12" i="1"/>
  <c r="I10" i="1"/>
  <c r="N9" i="1"/>
  <c r="M9" i="1"/>
  <c r="N8" i="1"/>
  <c r="M8" i="1"/>
  <c r="L8" i="1"/>
  <c r="K8" i="1"/>
  <c r="N7" i="1"/>
  <c r="M7" i="1"/>
  <c r="L7" i="1"/>
  <c r="K7" i="1"/>
  <c r="J7" i="1"/>
  <c r="I6" i="1"/>
  <c r="N4" i="1"/>
  <c r="M4" i="1"/>
  <c r="L4" i="1"/>
  <c r="K4" i="1"/>
  <c r="J4" i="1"/>
  <c r="N3" i="1"/>
  <c r="M3" i="1"/>
  <c r="L3" i="1"/>
  <c r="K3" i="1"/>
  <c r="J3" i="1"/>
  <c r="G57" i="9"/>
  <c r="F57" i="9"/>
  <c r="G56" i="9"/>
  <c r="F56" i="9"/>
  <c r="E52" i="9"/>
  <c r="E51" i="9"/>
  <c r="E50" i="9"/>
  <c r="E47" i="9"/>
  <c r="E46" i="9"/>
  <c r="E45" i="9"/>
  <c r="E44" i="9"/>
  <c r="G43" i="9"/>
  <c r="F43" i="9"/>
  <c r="E43" i="9"/>
  <c r="G42" i="9"/>
  <c r="F42" i="9"/>
  <c r="E42" i="9"/>
  <c r="G41" i="9"/>
  <c r="F41" i="9"/>
  <c r="E41" i="9"/>
  <c r="G40" i="9"/>
  <c r="F40" i="9"/>
  <c r="E40" i="9"/>
  <c r="G39" i="9"/>
  <c r="F39" i="9"/>
  <c r="F37" i="9"/>
  <c r="G36" i="9"/>
  <c r="F36" i="9"/>
  <c r="E36" i="9"/>
  <c r="G35" i="9"/>
  <c r="F35" i="9"/>
  <c r="E35" i="9"/>
  <c r="N34" i="9"/>
  <c r="H34" i="9"/>
  <c r="N33" i="9"/>
  <c r="H33" i="9"/>
  <c r="E33" i="9"/>
  <c r="N32" i="9"/>
  <c r="H32" i="9"/>
  <c r="E32" i="9"/>
  <c r="N31" i="9"/>
  <c r="H31" i="9"/>
  <c r="E31" i="9"/>
  <c r="H30" i="9"/>
  <c r="E30" i="9"/>
  <c r="N29" i="9"/>
  <c r="H29" i="9"/>
  <c r="E29" i="9"/>
  <c r="N28" i="9"/>
  <c r="H28" i="9"/>
  <c r="E28" i="9"/>
  <c r="N27" i="9"/>
  <c r="H27" i="9"/>
  <c r="E27" i="9"/>
  <c r="N26" i="9"/>
  <c r="H26" i="9"/>
  <c r="E26" i="9"/>
  <c r="H25" i="9"/>
  <c r="E25" i="9"/>
  <c r="N24" i="9"/>
  <c r="H24" i="9"/>
  <c r="E24" i="9"/>
  <c r="N23" i="9"/>
  <c r="H23" i="9"/>
  <c r="E23" i="9"/>
  <c r="N22" i="9"/>
  <c r="H22" i="9"/>
  <c r="E22" i="9"/>
  <c r="N21" i="9"/>
  <c r="H21" i="9"/>
  <c r="E21" i="9"/>
  <c r="N20" i="9"/>
  <c r="H20" i="9"/>
  <c r="E20" i="9"/>
  <c r="N19" i="9"/>
  <c r="H19" i="9"/>
  <c r="E19" i="9"/>
  <c r="N18" i="9"/>
  <c r="H18" i="9"/>
  <c r="E18" i="9"/>
  <c r="N17" i="9"/>
  <c r="H17" i="9"/>
  <c r="E17" i="9"/>
  <c r="N16" i="9"/>
  <c r="N15" i="9"/>
  <c r="G15" i="9"/>
  <c r="F15" i="9"/>
  <c r="E15" i="9"/>
  <c r="N14" i="9"/>
  <c r="H14" i="9"/>
  <c r="E14" i="9"/>
  <c r="N13" i="9"/>
  <c r="H13" i="9"/>
  <c r="E13" i="9"/>
  <c r="N12" i="9"/>
  <c r="H12" i="9"/>
  <c r="E12" i="9"/>
  <c r="N11" i="9"/>
  <c r="H11" i="9"/>
  <c r="E11" i="9"/>
  <c r="N10" i="9"/>
  <c r="H10" i="9"/>
  <c r="E10" i="9"/>
  <c r="N9" i="9"/>
  <c r="H9" i="9"/>
  <c r="E9" i="9"/>
  <c r="N8" i="9"/>
  <c r="H8" i="9"/>
  <c r="E8" i="9"/>
  <c r="N7" i="9"/>
  <c r="H7" i="9"/>
  <c r="E7" i="9"/>
  <c r="N6" i="9"/>
  <c r="H6" i="9"/>
  <c r="G6" i="9"/>
  <c r="F6" i="9"/>
  <c r="E6" i="9"/>
  <c r="N5" i="9"/>
  <c r="H5" i="9"/>
  <c r="N4" i="9"/>
  <c r="H4" i="9"/>
  <c r="E4" i="9"/>
  <c r="N3" i="9"/>
  <c r="H3" i="9"/>
  <c r="E3" i="9"/>
  <c r="I39" i="7" l="1"/>
  <c r="L39" i="7" s="1"/>
  <c r="K37" i="7"/>
  <c r="M33" i="4"/>
  <c r="L37" i="7"/>
  <c r="J43" i="4"/>
  <c r="F42" i="4"/>
  <c r="F57" i="4" s="1"/>
  <c r="G57" i="4" s="1"/>
  <c r="G42" i="4"/>
  <c r="F43" i="4"/>
  <c r="G43" i="4" s="1"/>
  <c r="I43" i="2"/>
  <c r="L37" i="4"/>
  <c r="L41" i="2"/>
  <c r="I35" i="4"/>
  <c r="L35" i="4" s="1"/>
  <c r="I42" i="4"/>
  <c r="M12" i="4"/>
  <c r="F39" i="2"/>
  <c r="M39" i="2" s="1"/>
  <c r="M10" i="1"/>
  <c r="I11" i="1"/>
  <c r="I15" i="1" s="1"/>
  <c r="O9" i="6"/>
  <c r="E11" i="6"/>
  <c r="O6" i="6"/>
  <c r="J9" i="1"/>
  <c r="O5" i="6"/>
  <c r="J8" i="1"/>
  <c r="J5" i="1"/>
  <c r="K5" i="1"/>
  <c r="G6" i="1"/>
  <c r="L6" i="1" s="1"/>
  <c r="L40" i="2"/>
  <c r="M6" i="1"/>
  <c r="N6" i="1"/>
  <c r="L39" i="2"/>
  <c r="M16" i="4"/>
  <c r="F14" i="6"/>
  <c r="F15" i="6" s="1"/>
  <c r="N5" i="1"/>
  <c r="G42" i="2"/>
  <c r="K42" i="2" s="1"/>
  <c r="L17" i="4"/>
  <c r="M17" i="4"/>
  <c r="N17" i="4"/>
  <c r="M5" i="1"/>
  <c r="N10" i="1"/>
  <c r="I52" i="4"/>
  <c r="G14" i="1"/>
  <c r="K14" i="1" s="1"/>
  <c r="I39" i="4"/>
  <c r="L39" i="4" s="1"/>
  <c r="N35" i="4"/>
  <c r="H36" i="4"/>
  <c r="F11" i="1"/>
  <c r="G10" i="1"/>
  <c r="M39" i="7"/>
  <c r="F42" i="2"/>
  <c r="K9" i="1"/>
  <c r="K39" i="7"/>
  <c r="I36" i="4" l="1"/>
  <c r="I43" i="4" s="1"/>
  <c r="L43" i="4" s="1"/>
  <c r="M35" i="4"/>
  <c r="E15" i="6"/>
  <c r="O11" i="6"/>
  <c r="G57" i="2"/>
  <c r="L42" i="2"/>
  <c r="K6" i="1"/>
  <c r="G43" i="2"/>
  <c r="K43" i="2" s="1"/>
  <c r="M36" i="4"/>
  <c r="L36" i="4"/>
  <c r="L10" i="1"/>
  <c r="K10" i="1"/>
  <c r="G11" i="1"/>
  <c r="G15" i="1" s="1"/>
  <c r="K15" i="1" s="1"/>
  <c r="F15" i="1"/>
  <c r="N11" i="1"/>
  <c r="H43" i="4"/>
  <c r="N36" i="4"/>
  <c r="F57" i="2"/>
  <c r="F43" i="2"/>
  <c r="M43" i="2" s="1"/>
  <c r="M42" i="2"/>
  <c r="L4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王建华</author>
    <author>Admin</author>
    <author>pc</author>
  </authors>
  <commentList>
    <comment ref="F2" authorId="0" shapeId="0" xr:uid="{00000000-0006-0000-0000-000001000000}">
      <text>
        <r>
          <rPr>
            <sz val="9"/>
            <rFont val="宋体"/>
            <charset val="134"/>
          </rPr>
          <t>去年年底制定年度计划时就已经分解的新一年的每个月的月度分解目标。</t>
        </r>
      </text>
    </comment>
    <comment ref="G2" authorId="0" shapeId="0" xr:uid="{00000000-0006-0000-0000-000002000000}">
      <text>
        <r>
          <rPr>
            <sz val="9"/>
            <rFont val="宋体"/>
            <charset val="134"/>
          </rPr>
          <t>到了这个月来临前，根据当前的形势和情况，针对F列的当月目标进行调整得到的目标数据。</t>
        </r>
      </text>
    </comment>
    <comment ref="H2" authorId="1" shapeId="0" xr:uid="{00000000-0006-0000-0000-000003000000}">
      <text>
        <r>
          <rPr>
            <sz val="9"/>
            <rFont val="宋体"/>
            <charset val="134"/>
          </rPr>
          <t>左侧金额/总销售额（A5行）*100%</t>
        </r>
      </text>
    </comment>
    <comment ref="I2" authorId="0" shapeId="0" xr:uid="{00000000-0006-0000-0000-000004000000}">
      <text>
        <r>
          <rPr>
            <sz val="9"/>
            <rFont val="宋体"/>
            <charset val="134"/>
          </rPr>
          <t>这个月努力的结果。</t>
        </r>
      </text>
    </comment>
    <comment ref="J2" authorId="1" shapeId="0" xr:uid="{00000000-0006-0000-0000-000005000000}">
      <text>
        <r>
          <rPr>
            <sz val="9"/>
            <rFont val="宋体"/>
            <charset val="134"/>
          </rPr>
          <t>左侧金额/总销售额（A5行）*100%</t>
        </r>
      </text>
    </comment>
    <comment ref="K2" authorId="0" shapeId="0" xr:uid="{00000000-0006-0000-0000-000006000000}">
      <text>
        <r>
          <rPr>
            <sz val="9"/>
            <rFont val="宋体"/>
            <charset val="134"/>
          </rPr>
          <t>月度实绩—月度预定的差额。</t>
        </r>
      </text>
    </comment>
    <comment ref="L2" authorId="0" shapeId="0" xr:uid="{00000000-0006-0000-0000-000007000000}">
      <text>
        <r>
          <rPr>
            <sz val="9"/>
            <rFont val="宋体"/>
            <charset val="134"/>
          </rPr>
          <t>月度实绩/月度预定*100%</t>
        </r>
      </text>
    </comment>
    <comment ref="M2" authorId="0" shapeId="0" xr:uid="{00000000-0006-0000-0000-000008000000}">
      <text>
        <r>
          <rPr>
            <sz val="9"/>
            <rFont val="宋体"/>
            <charset val="134"/>
          </rPr>
          <t>月度实绩/年度计划当月目标*100%</t>
        </r>
      </text>
    </comment>
    <comment ref="C6" authorId="2" shapeId="0" xr:uid="{00000000-0006-0000-0000-000009000000}">
      <text>
        <r>
          <rPr>
            <b/>
            <sz val="9"/>
            <rFont val="宋体"/>
            <charset val="134"/>
          </rPr>
          <t>pc:</t>
        </r>
        <r>
          <rPr>
            <sz val="9"/>
            <rFont val="宋体"/>
            <charset val="134"/>
          </rPr>
          <t xml:space="preserve">
不含税</t>
        </r>
      </text>
    </comment>
    <comment ref="C11" authorId="0" shapeId="0" xr:uid="{00000000-0006-0000-0000-00000A000000}">
      <text>
        <r>
          <rPr>
            <sz val="9"/>
            <rFont val="宋体"/>
            <charset val="134"/>
          </rPr>
          <t>1、结算收益代表公司产生的附加价值，只不过不包含人工费；
2、结算收益＞人工费代表不亏钱。</t>
        </r>
      </text>
    </comment>
    <comment ref="C14" authorId="0" shapeId="0" xr:uid="{00000000-0006-0000-0000-00000B000000}">
      <text>
        <r>
          <rPr>
            <sz val="9"/>
            <rFont val="宋体"/>
            <charset val="134"/>
          </rPr>
          <t>总时间=正常出勤时间+加班时间，请假、休假应当扣除不计入出勤时间。</t>
        </r>
      </text>
    </comment>
    <comment ref="C15" authorId="0" shapeId="0" xr:uid="{00000000-0006-0000-0000-00000C000000}">
      <text>
        <r>
          <rPr>
            <sz val="9"/>
            <rFont val="宋体"/>
            <charset val="134"/>
          </rPr>
          <t>1、单位时间附加值=结算收益/总时间；
2、代表每小时创造的附加价值。</t>
        </r>
      </text>
    </comment>
    <comment ref="C16" authorId="0" shapeId="0" xr:uid="{00000000-0006-0000-0000-00000D000000}">
      <text>
        <r>
          <rPr>
            <sz val="9"/>
            <rFont val="宋体"/>
            <charset val="134"/>
          </rPr>
          <t>1、人数=月初公司人员数或（月初+月底之和/2)；一旦选择了某种人数确认方式，则每个月的标准要一致，不能变；
2、控制人数对提升单位时间附加值很重要。</t>
        </r>
      </text>
    </comment>
    <comment ref="A21" authorId="0" shapeId="0" xr:uid="{00000000-0006-0000-0000-00000E000000}">
      <text>
        <r>
          <rPr>
            <sz val="9"/>
            <rFont val="宋体"/>
            <charset val="134"/>
          </rPr>
          <t xml:space="preserve">1、栏外部分为企业个性化数据，每家企业根据自己的情况以及经营者关注的点不同，可以自行添加或者修改；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pc</author>
    <author>win</author>
  </authors>
  <commentList>
    <comment ref="F2" authorId="0" shapeId="0" xr:uid="{00000000-0006-0000-0100-000001000000}">
      <text>
        <r>
          <rPr>
            <b/>
            <sz val="9"/>
            <rFont val="宋体"/>
            <charset val="134"/>
          </rPr>
          <t>Administrator:</t>
        </r>
        <r>
          <rPr>
            <sz val="9"/>
            <rFont val="宋体"/>
            <charset val="134"/>
          </rPr>
          <t xml:space="preserve">
年度分解的7月预算数</t>
        </r>
      </text>
    </comment>
    <comment ref="B3" authorId="1" shapeId="0" xr:uid="{00000000-0006-0000-0100-000002000000}">
      <text>
        <r>
          <rPr>
            <b/>
            <sz val="9"/>
            <rFont val="宋体"/>
            <charset val="134"/>
          </rPr>
          <t>pc:</t>
        </r>
        <r>
          <rPr>
            <sz val="9"/>
            <rFont val="宋体"/>
            <charset val="134"/>
          </rPr>
          <t xml:space="preserve">
招商部：不含开乐影城，指合同额。</t>
        </r>
      </text>
    </comment>
    <comment ref="B7" authorId="0" shapeId="0" xr:uid="{00000000-0006-0000-0100-000003000000}">
      <text>
        <r>
          <rPr>
            <b/>
            <sz val="9"/>
            <rFont val="宋体"/>
            <charset val="134"/>
          </rPr>
          <t>Administrator:</t>
        </r>
        <r>
          <rPr>
            <sz val="9"/>
            <rFont val="宋体"/>
            <charset val="134"/>
          </rPr>
          <t xml:space="preserve">
收入</t>
        </r>
      </text>
    </comment>
    <comment ref="B8" authorId="0" shapeId="0" xr:uid="{00000000-0006-0000-0100-000004000000}">
      <text>
        <r>
          <rPr>
            <b/>
            <sz val="9"/>
            <rFont val="宋体"/>
            <charset val="134"/>
          </rPr>
          <t>Administrator:</t>
        </r>
        <r>
          <rPr>
            <sz val="9"/>
            <rFont val="宋体"/>
            <charset val="134"/>
          </rPr>
          <t xml:space="preserve">
财务部，包括收银机服务费、工程特约维修款等</t>
        </r>
      </text>
    </comment>
    <comment ref="B9" authorId="0" shapeId="0" xr:uid="{00000000-0006-0000-0100-000005000000}">
      <text>
        <r>
          <rPr>
            <sz val="9"/>
            <rFont val="宋体"/>
            <charset val="134"/>
          </rPr>
          <t>Administrator:
包括美食广场、馋嘴巷子</t>
        </r>
      </text>
    </comment>
    <comment ref="B10" authorId="0" shapeId="0" xr:uid="{00000000-0006-0000-0100-000006000000}">
      <text>
        <r>
          <rPr>
            <b/>
            <sz val="9"/>
            <rFont val="宋体"/>
            <charset val="134"/>
          </rPr>
          <t>Administrator:</t>
        </r>
        <r>
          <rPr>
            <sz val="9"/>
            <rFont val="宋体"/>
            <charset val="134"/>
          </rPr>
          <t xml:space="preserve">
安环部填写，收入</t>
        </r>
      </text>
    </comment>
    <comment ref="B11" authorId="0" shapeId="0" xr:uid="{00000000-0006-0000-0100-000007000000}">
      <text>
        <r>
          <rPr>
            <b/>
            <sz val="9"/>
            <rFont val="宋体"/>
            <charset val="134"/>
          </rPr>
          <t>Administrator:</t>
        </r>
        <r>
          <rPr>
            <sz val="9"/>
            <rFont val="宋体"/>
            <charset val="134"/>
          </rPr>
          <t xml:space="preserve">
财务部填写，希尔顿租金</t>
        </r>
      </text>
    </comment>
    <comment ref="B12" authorId="0" shapeId="0" xr:uid="{00000000-0006-0000-0100-000008000000}">
      <text>
        <r>
          <rPr>
            <b/>
            <sz val="9"/>
            <rFont val="宋体"/>
            <charset val="134"/>
          </rPr>
          <t>Administrator:</t>
        </r>
        <r>
          <rPr>
            <sz val="9"/>
            <rFont val="宋体"/>
            <charset val="134"/>
          </rPr>
          <t xml:space="preserve">
工程部填写，商户能源费总额</t>
        </r>
      </text>
    </comment>
    <comment ref="B13" authorId="0" shapeId="0" xr:uid="{00000000-0006-0000-0100-000009000000}">
      <text>
        <r>
          <rPr>
            <b/>
            <sz val="9"/>
            <rFont val="宋体"/>
            <charset val="134"/>
          </rPr>
          <t>Administrator:</t>
        </r>
        <r>
          <rPr>
            <sz val="9"/>
            <rFont val="宋体"/>
            <charset val="134"/>
          </rPr>
          <t xml:space="preserve">
推广部市场收入</t>
        </r>
      </text>
    </comment>
    <comment ref="B14" authorId="0" shapeId="0" xr:uid="{00000000-0006-0000-0100-00000A000000}">
      <text>
        <r>
          <rPr>
            <b/>
            <sz val="9"/>
            <rFont val="宋体"/>
            <charset val="134"/>
          </rPr>
          <t xml:space="preserve">Administrator:
</t>
        </r>
        <r>
          <rPr>
            <sz val="9"/>
            <rFont val="宋体"/>
            <charset val="134"/>
          </rPr>
          <t>开乐影城经营利润</t>
        </r>
      </text>
    </comment>
    <comment ref="B18" authorId="1" shapeId="0" xr:uid="{00000000-0006-0000-0100-00000B000000}">
      <text>
        <r>
          <rPr>
            <b/>
            <sz val="9"/>
            <rFont val="宋体"/>
            <charset val="134"/>
          </rPr>
          <t>pc:</t>
        </r>
        <r>
          <rPr>
            <sz val="9"/>
            <rFont val="宋体"/>
            <charset val="134"/>
          </rPr>
          <t xml:space="preserve">
工程部指为商户垫付的电费、水费。</t>
        </r>
      </text>
    </comment>
    <comment ref="B19" authorId="0" shapeId="0" xr:uid="{00000000-0006-0000-0100-00000C000000}">
      <text>
        <r>
          <rPr>
            <b/>
            <sz val="9"/>
            <rFont val="宋体"/>
            <charset val="134"/>
          </rPr>
          <t>Administrator:</t>
        </r>
        <r>
          <rPr>
            <sz val="9"/>
            <rFont val="宋体"/>
            <charset val="134"/>
          </rPr>
          <t xml:space="preserve">
工程威高广场能源费</t>
        </r>
      </text>
    </comment>
    <comment ref="B20" authorId="0" shapeId="0" xr:uid="{00000000-0006-0000-0100-00000D000000}">
      <text>
        <r>
          <rPr>
            <b/>
            <sz val="9"/>
            <rFont val="宋体"/>
            <charset val="134"/>
          </rPr>
          <t>Administrator:</t>
        </r>
        <r>
          <rPr>
            <sz val="9"/>
            <rFont val="宋体"/>
            <charset val="134"/>
          </rPr>
          <t xml:space="preserve">
推广部+美食广场合计数</t>
        </r>
      </text>
    </comment>
    <comment ref="B21" authorId="0" shapeId="0" xr:uid="{00000000-0006-0000-0100-00000E000000}">
      <text>
        <r>
          <rPr>
            <b/>
            <sz val="9"/>
            <rFont val="宋体"/>
            <charset val="134"/>
          </rPr>
          <t>Administrator:</t>
        </r>
        <r>
          <rPr>
            <sz val="9"/>
            <rFont val="宋体"/>
            <charset val="134"/>
          </rPr>
          <t xml:space="preserve">
安环部外包方（保洁、理石、高空）</t>
        </r>
      </text>
    </comment>
    <comment ref="B22" authorId="0" shapeId="0" xr:uid="{00000000-0006-0000-0100-00000F000000}">
      <text>
        <r>
          <rPr>
            <b/>
            <sz val="9"/>
            <rFont val="宋体"/>
            <charset val="134"/>
          </rPr>
          <t>Administrator:</t>
        </r>
        <r>
          <rPr>
            <sz val="9"/>
            <rFont val="宋体"/>
            <charset val="134"/>
          </rPr>
          <t xml:space="preserve">
工程部出具包括工程+美食广场</t>
        </r>
      </text>
    </comment>
    <comment ref="D22" authorId="0" shapeId="0" xr:uid="{00000000-0006-0000-0100-000010000000}">
      <text>
        <r>
          <rPr>
            <b/>
            <sz val="9"/>
            <rFont val="宋体"/>
            <charset val="134"/>
          </rPr>
          <t>Administrator:</t>
        </r>
        <r>
          <rPr>
            <sz val="9"/>
            <rFont val="宋体"/>
            <charset val="134"/>
          </rPr>
          <t xml:space="preserve">
工程部：威高广场维修费</t>
        </r>
      </text>
    </comment>
    <comment ref="B23" authorId="0" shapeId="0" xr:uid="{00000000-0006-0000-0100-000011000000}">
      <text>
        <r>
          <rPr>
            <b/>
            <sz val="9"/>
            <rFont val="宋体"/>
            <charset val="134"/>
          </rPr>
          <t>Administrator:</t>
        </r>
        <r>
          <rPr>
            <sz val="9"/>
            <rFont val="宋体"/>
            <charset val="134"/>
          </rPr>
          <t xml:space="preserve">
工程部，包括设备设施维保费、工程类信息系统维保费</t>
        </r>
      </text>
    </comment>
    <comment ref="B25" authorId="0" shapeId="0" xr:uid="{00000000-0006-0000-0100-000012000000}">
      <text>
        <r>
          <rPr>
            <b/>
            <sz val="9"/>
            <rFont val="宋体"/>
            <charset val="134"/>
          </rPr>
          <t>Administrator:</t>
        </r>
        <r>
          <rPr>
            <sz val="9"/>
            <rFont val="宋体"/>
            <charset val="134"/>
          </rPr>
          <t xml:space="preserve">
工程部：新商户工程配套费，分摊到月度。</t>
        </r>
      </text>
    </comment>
    <comment ref="B29" authorId="0" shapeId="0" xr:uid="{00000000-0006-0000-0100-000013000000}">
      <text>
        <r>
          <rPr>
            <b/>
            <sz val="9"/>
            <rFont val="宋体"/>
            <charset val="134"/>
          </rPr>
          <t>Administrator:</t>
        </r>
        <r>
          <rPr>
            <sz val="9"/>
            <rFont val="宋体"/>
            <charset val="134"/>
          </rPr>
          <t xml:space="preserve">
财务部填写</t>
        </r>
      </text>
    </comment>
    <comment ref="B31" authorId="2" shapeId="0" xr:uid="{00000000-0006-0000-0100-000014000000}">
      <text>
        <r>
          <rPr>
            <b/>
            <sz val="9"/>
            <rFont val="宋体"/>
            <charset val="134"/>
          </rPr>
          <t>win:</t>
        </r>
        <r>
          <rPr>
            <sz val="9"/>
            <rFont val="宋体"/>
            <charset val="134"/>
          </rPr>
          <t xml:space="preserve">
综合部：苗寒春填写，当月购入的费用</t>
        </r>
      </text>
    </comment>
    <comment ref="B32" authorId="2" shapeId="0" xr:uid="{00000000-0006-0000-0100-000015000000}">
      <text>
        <r>
          <rPr>
            <b/>
            <sz val="9"/>
            <rFont val="宋体"/>
            <charset val="134"/>
          </rPr>
          <t>win:</t>
        </r>
        <r>
          <rPr>
            <sz val="9"/>
            <rFont val="宋体"/>
            <charset val="134"/>
          </rPr>
          <t xml:space="preserve">
财务：各部门通讯费合计</t>
        </r>
      </text>
    </comment>
    <comment ref="B33" authorId="0" shapeId="0" xr:uid="{00000000-0006-0000-0100-000016000000}">
      <text>
        <r>
          <rPr>
            <b/>
            <sz val="9"/>
            <rFont val="宋体"/>
            <charset val="134"/>
          </rPr>
          <t>Administrator:</t>
        </r>
        <r>
          <rPr>
            <sz val="9"/>
            <rFont val="宋体"/>
            <charset val="134"/>
          </rPr>
          <t xml:space="preserve">
综合部：</t>
        </r>
      </text>
    </comment>
    <comment ref="B34" authorId="2" shapeId="0" xr:uid="{00000000-0006-0000-0100-000017000000}">
      <text>
        <r>
          <rPr>
            <b/>
            <sz val="9"/>
            <rFont val="宋体"/>
            <charset val="134"/>
          </rPr>
          <t>win:</t>
        </r>
        <r>
          <rPr>
            <sz val="9"/>
            <rFont val="宋体"/>
            <charset val="134"/>
          </rPr>
          <t xml:space="preserve">
顾客部：投诉处理费、高端会员活动费等</t>
        </r>
      </text>
    </comment>
    <comment ref="D54" authorId="1" shapeId="0" xr:uid="{00000000-0006-0000-0100-000018000000}">
      <text>
        <r>
          <rPr>
            <b/>
            <sz val="9"/>
            <rFont val="宋体"/>
            <charset val="134"/>
          </rPr>
          <t>pc:</t>
        </r>
        <r>
          <rPr>
            <sz val="9"/>
            <rFont val="宋体"/>
            <charset val="134"/>
          </rPr>
          <t xml:space="preserve">
福利费（指以钱、物等方式发给员工的）；团建费；食堂费用</t>
        </r>
      </text>
    </comment>
    <comment ref="D55" authorId="1" shapeId="0" xr:uid="{00000000-0006-0000-0100-000019000000}">
      <text>
        <r>
          <rPr>
            <b/>
            <sz val="9"/>
            <rFont val="宋体"/>
            <charset val="134"/>
          </rPr>
          <t>pc:</t>
        </r>
        <r>
          <rPr>
            <sz val="9"/>
            <rFont val="宋体"/>
            <charset val="134"/>
          </rPr>
          <t xml:space="preserve">
工装、公司配备的防护用品等，以当月实际签收入帐为准</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王建华</author>
    <author>Administrator</author>
    <author>Admin</author>
    <author>pc3</author>
    <author>Unknown User</author>
  </authors>
  <commentList>
    <comment ref="E3" authorId="0" shapeId="0" xr:uid="{00000000-0006-0000-0C00-000001000000}">
      <text>
        <r>
          <rPr>
            <sz val="9"/>
            <rFont val="宋体"/>
            <charset val="134"/>
          </rPr>
          <t>去年年底制定的全年计划。</t>
        </r>
      </text>
    </comment>
    <comment ref="F3" authorId="1" shapeId="0" xr:uid="{00000000-0006-0000-0C00-000002000000}">
      <text>
        <r>
          <rPr>
            <b/>
            <sz val="9"/>
            <rFont val="宋体"/>
            <charset val="134"/>
          </rPr>
          <t>Administrator:</t>
        </r>
        <r>
          <rPr>
            <sz val="9"/>
            <rFont val="宋体"/>
            <charset val="134"/>
          </rPr>
          <t xml:space="preserve">
截止到当月累计完成数，本月累计至8月份</t>
        </r>
      </text>
    </comment>
    <comment ref="G3" authorId="1" shapeId="0" xr:uid="{00000000-0006-0000-0C00-000003000000}">
      <text>
        <r>
          <rPr>
            <b/>
            <sz val="9"/>
            <rFont val="宋体"/>
            <charset val="134"/>
          </rPr>
          <t>Administrator:</t>
        </r>
        <r>
          <rPr>
            <sz val="9"/>
            <rFont val="宋体"/>
            <charset val="134"/>
          </rPr>
          <t xml:space="preserve">
实际数/计划数</t>
        </r>
      </text>
    </comment>
    <comment ref="H3" authorId="0" shapeId="0" xr:uid="{00000000-0006-0000-0C00-000004000000}">
      <text>
        <r>
          <rPr>
            <sz val="9"/>
            <rFont val="宋体"/>
            <charset val="134"/>
          </rPr>
          <t>这个月努力的结果。</t>
        </r>
      </text>
    </comment>
    <comment ref="I3" authorId="0" shapeId="0" xr:uid="{00000000-0006-0000-0C00-000005000000}">
      <text>
        <r>
          <rPr>
            <sz val="9"/>
            <rFont val="宋体"/>
            <charset val="134"/>
          </rPr>
          <t>这个月努力的结果。</t>
        </r>
      </text>
    </comment>
    <comment ref="J3" authorId="0" shapeId="0" xr:uid="{00000000-0006-0000-0C00-000006000000}">
      <text>
        <r>
          <rPr>
            <sz val="9"/>
            <rFont val="宋体"/>
            <charset val="134"/>
          </rPr>
          <t>这个月努力的结果。</t>
        </r>
      </text>
    </comment>
    <comment ref="K3" authorId="2" shapeId="0" xr:uid="{00000000-0006-0000-0C00-000007000000}">
      <text>
        <r>
          <rPr>
            <sz val="9"/>
            <rFont val="宋体"/>
            <charset val="134"/>
          </rPr>
          <t>左侧金额/总销售额（A行）*100%</t>
        </r>
      </text>
    </comment>
    <comment ref="M3" authorId="0" shapeId="0" xr:uid="{00000000-0006-0000-0C00-000008000000}">
      <text>
        <r>
          <rPr>
            <sz val="9"/>
            <rFont val="宋体"/>
            <charset val="134"/>
          </rPr>
          <t>月度实绩/月度预定*100%</t>
        </r>
      </text>
    </comment>
    <comment ref="N3" authorId="0" shapeId="0" xr:uid="{00000000-0006-0000-0C00-000009000000}">
      <text>
        <r>
          <rPr>
            <sz val="9"/>
            <rFont val="宋体"/>
            <charset val="134"/>
          </rPr>
          <t>月度实绩/年度计划当月目标*100%</t>
        </r>
      </text>
    </comment>
    <comment ref="E18" authorId="3" shapeId="0" xr:uid="{00000000-0006-0000-0C00-00000A000000}">
      <text>
        <r>
          <rPr>
            <b/>
            <sz val="9"/>
            <rFont val="宋体"/>
            <charset val="134"/>
          </rPr>
          <t>pc3:</t>
        </r>
        <r>
          <rPr>
            <sz val="9"/>
            <rFont val="宋体"/>
            <charset val="134"/>
          </rPr>
          <t xml:space="preserve">
能源费总数</t>
        </r>
      </text>
    </comment>
    <comment ref="F18" authorId="3" shapeId="0" xr:uid="{00000000-0006-0000-0C00-00000B000000}">
      <text>
        <r>
          <rPr>
            <b/>
            <sz val="9"/>
            <rFont val="宋体"/>
            <charset val="134"/>
          </rPr>
          <t>pc3:</t>
        </r>
        <r>
          <rPr>
            <sz val="9"/>
            <rFont val="宋体"/>
            <charset val="134"/>
          </rPr>
          <t xml:space="preserve">
能源费总数，区分不出商户、公区</t>
        </r>
      </text>
    </comment>
    <comment ref="H18" authorId="3" shapeId="0" xr:uid="{00000000-0006-0000-0C00-00000C000000}">
      <text>
        <r>
          <rPr>
            <b/>
            <sz val="9"/>
            <rFont val="宋体"/>
            <charset val="134"/>
          </rPr>
          <t>pc3:</t>
        </r>
        <r>
          <rPr>
            <sz val="9"/>
            <rFont val="宋体"/>
            <charset val="134"/>
          </rPr>
          <t xml:space="preserve">
能源费总数</t>
        </r>
      </text>
    </comment>
    <comment ref="I18" authorId="3" shapeId="0" xr:uid="{00000000-0006-0000-0C00-00000D000000}">
      <text>
        <r>
          <rPr>
            <b/>
            <sz val="9"/>
            <rFont val="宋体"/>
            <charset val="134"/>
          </rPr>
          <t>pc3:</t>
        </r>
        <r>
          <rPr>
            <sz val="9"/>
            <rFont val="宋体"/>
            <charset val="134"/>
          </rPr>
          <t xml:space="preserve">
能源费总数</t>
        </r>
      </text>
    </comment>
    <comment ref="B36" authorId="0" shapeId="0" xr:uid="{00000000-0006-0000-0C00-00000E000000}">
      <text>
        <r>
          <rPr>
            <sz val="9"/>
            <rFont val="宋体"/>
            <charset val="134"/>
          </rPr>
          <t>1、结算收益代表公司产生的附加价值，只不过不包含人工费；
2、结算收益＞人工费代表不亏钱。</t>
        </r>
      </text>
    </comment>
    <comment ref="B37" authorId="0" shapeId="0" xr:uid="{00000000-0006-0000-0C00-00000F000000}">
      <text>
        <r>
          <rPr>
            <sz val="9"/>
            <rFont val="宋体"/>
            <charset val="134"/>
          </rPr>
          <t>总时间=正常出勤时间+加班时间，请假、休假应当扣除不计入出勤时间。</t>
        </r>
      </text>
    </comment>
    <comment ref="B43" authorId="0" shapeId="0" xr:uid="{00000000-0006-0000-0C00-000010000000}">
      <text>
        <r>
          <rPr>
            <sz val="9"/>
            <rFont val="宋体"/>
            <charset val="134"/>
          </rPr>
          <t>1、单位时间附加值=结算收益/总时间；
2、代表每小时创造的附加价值。</t>
        </r>
      </text>
    </comment>
    <comment ref="B44" authorId="0" shapeId="0" xr:uid="{00000000-0006-0000-0C00-000011000000}">
      <text>
        <r>
          <rPr>
            <sz val="9"/>
            <rFont val="宋体"/>
            <charset val="134"/>
          </rPr>
          <t>1、人数=月初公司人员数或（月初+月底之和/2)；一旦选择了某种人数确认方式，则每个月的标准要一致，不能变；
2、控制人数对提升单位时间附加值很重要。</t>
        </r>
      </text>
    </comment>
    <comment ref="B45" authorId="0" shapeId="0" xr:uid="{00000000-0006-0000-0C00-000012000000}">
      <text>
        <r>
          <rPr>
            <sz val="9"/>
            <rFont val="宋体"/>
            <charset val="134"/>
          </rPr>
          <t>1、人均销售额=总销售额/销售人数</t>
        </r>
      </text>
    </comment>
    <comment ref="A49" authorId="0" shapeId="0" xr:uid="{00000000-0006-0000-0C00-000013000000}">
      <text>
        <r>
          <rPr>
            <sz val="9"/>
            <rFont val="宋体"/>
            <charset val="134"/>
          </rPr>
          <t xml:space="preserve">1、栏外部分为企业个性化数据，每家企业根据自己的情况以及经营者关注的点不同，可以自行添加或者修改；
2、比如可以统计本月应收账款，累计应收账款、库存余额等等。
</t>
        </r>
      </text>
    </comment>
    <comment ref="BN54" authorId="4" shapeId="0" xr:uid="{00000000-0006-0000-0C00-000014000000}">
      <text>
        <r>
          <rPr>
            <b/>
            <sz val="9"/>
            <rFont val="宋体"/>
            <charset val="134"/>
          </rPr>
          <t>棉花糖:</t>
        </r>
        <r>
          <rPr>
            <sz val="9"/>
            <rFont val="宋体"/>
            <charset val="134"/>
          </rPr>
          <t xml:space="preserve">
一线服务人员体检费</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王建华</author>
    <author>Admin</author>
    <author>pc</author>
    <author>Unknown User</author>
  </authors>
  <commentList>
    <comment ref="F2" authorId="0" shapeId="0" xr:uid="{00000000-0006-0000-0300-000001000000}">
      <text>
        <r>
          <rPr>
            <sz val="9"/>
            <rFont val="宋体"/>
            <charset val="134"/>
          </rPr>
          <t>去年年底制定年度计划时就已经分解的新一年的每个月的月度分解目标。</t>
        </r>
      </text>
    </comment>
    <comment ref="G2" authorId="1" shapeId="0" xr:uid="{00000000-0006-0000-0300-000002000000}">
      <text>
        <r>
          <rPr>
            <sz val="9"/>
            <rFont val="宋体"/>
            <charset val="134"/>
          </rPr>
          <t>左侧金额/总销售额（A5行）*100%</t>
        </r>
      </text>
    </comment>
    <comment ref="H2" authorId="0" shapeId="0" xr:uid="{00000000-0006-0000-0300-000003000000}">
      <text>
        <r>
          <rPr>
            <sz val="9"/>
            <rFont val="宋体"/>
            <charset val="134"/>
          </rPr>
          <t>到了这个月来临前，根据当前的形势和情况，针对F列的当月目标进行调整得到的目标数据。</t>
        </r>
      </text>
    </comment>
    <comment ref="I2" authorId="1" shapeId="0" xr:uid="{00000000-0006-0000-0300-000004000000}">
      <text>
        <r>
          <rPr>
            <sz val="9"/>
            <rFont val="宋体"/>
            <charset val="134"/>
          </rPr>
          <t>左侧金额/总销售额（A5行）*100%</t>
        </r>
      </text>
    </comment>
    <comment ref="J2" authorId="0" shapeId="0" xr:uid="{00000000-0006-0000-0300-000005000000}">
      <text>
        <r>
          <rPr>
            <sz val="9"/>
            <rFont val="宋体"/>
            <charset val="134"/>
          </rPr>
          <t>这个月努力的结果。</t>
        </r>
      </text>
    </comment>
    <comment ref="K2" authorId="1" shapeId="0" xr:uid="{00000000-0006-0000-0300-000006000000}">
      <text>
        <r>
          <rPr>
            <sz val="9"/>
            <rFont val="宋体"/>
            <charset val="134"/>
          </rPr>
          <t>左侧金额/总销售额（A5行）*100%</t>
        </r>
      </text>
    </comment>
    <comment ref="L2" authorId="0" shapeId="0" xr:uid="{00000000-0006-0000-0300-000007000000}">
      <text>
        <r>
          <rPr>
            <sz val="9"/>
            <rFont val="宋体"/>
            <charset val="134"/>
          </rPr>
          <t>月度实绩—月度预定的差额。</t>
        </r>
      </text>
    </comment>
    <comment ref="M2" authorId="0" shapeId="0" xr:uid="{00000000-0006-0000-0300-000008000000}">
      <text>
        <r>
          <rPr>
            <sz val="9"/>
            <rFont val="宋体"/>
            <charset val="134"/>
          </rPr>
          <t>月度实绩/月度预定*100%</t>
        </r>
      </text>
    </comment>
    <comment ref="N2" authorId="0" shapeId="0" xr:uid="{00000000-0006-0000-0300-000009000000}">
      <text>
        <r>
          <rPr>
            <sz val="9"/>
            <rFont val="宋体"/>
            <charset val="134"/>
          </rPr>
          <t>月度实绩/年度计划当月目标*100%</t>
        </r>
      </text>
    </comment>
    <comment ref="C6" authorId="2" shapeId="0" xr:uid="{00000000-0006-0000-0300-00000A000000}">
      <text>
        <r>
          <rPr>
            <b/>
            <sz val="9"/>
            <rFont val="宋体"/>
            <charset val="134"/>
          </rPr>
          <t>pc:</t>
        </r>
        <r>
          <rPr>
            <sz val="9"/>
            <rFont val="宋体"/>
            <charset val="134"/>
          </rPr>
          <t xml:space="preserve">
不含税</t>
        </r>
      </text>
    </comment>
    <comment ref="C11" authorId="0" shapeId="0" xr:uid="{00000000-0006-0000-0300-00000B000000}">
      <text>
        <r>
          <rPr>
            <sz val="9"/>
            <rFont val="宋体"/>
            <charset val="134"/>
          </rPr>
          <t>1、结算收益代表公司产生的附加价值，只不过不包含人工费；
2、结算收益＞人工费代表不亏钱。</t>
        </r>
      </text>
    </comment>
    <comment ref="C14" authorId="0" shapeId="0" xr:uid="{00000000-0006-0000-0300-00000C000000}">
      <text>
        <r>
          <rPr>
            <sz val="9"/>
            <rFont val="宋体"/>
            <charset val="134"/>
          </rPr>
          <t>总时间=正常出勤时间+加班时间，请假、休假应当扣除不计入出勤时间。</t>
        </r>
      </text>
    </comment>
    <comment ref="C15" authorId="0" shapeId="0" xr:uid="{00000000-0006-0000-0300-00000D000000}">
      <text>
        <r>
          <rPr>
            <sz val="9"/>
            <rFont val="宋体"/>
            <charset val="134"/>
          </rPr>
          <t>1、单位时间附加值=结算收益/总时间；
2、代表每小时创造的附加价值。</t>
        </r>
      </text>
    </comment>
    <comment ref="C16" authorId="0" shapeId="0" xr:uid="{00000000-0006-0000-0300-00000E000000}">
      <text>
        <r>
          <rPr>
            <sz val="9"/>
            <rFont val="宋体"/>
            <charset val="134"/>
          </rPr>
          <t>1、人数=月初公司人员数或（月初+月底之和/2)；一旦选择了某种人数确认方式，则每个月的标准要一致，不能变；
2、控制人数对提升单位时间附加值很重要。</t>
        </r>
      </text>
    </comment>
    <comment ref="A21" authorId="0" shapeId="0" xr:uid="{00000000-0006-0000-0300-00000F000000}">
      <text>
        <r>
          <rPr>
            <sz val="9"/>
            <rFont val="宋体"/>
            <charset val="134"/>
          </rPr>
          <t xml:space="preserve">1、栏外部分为企业个性化数据，每家企业根据自己的情况以及经营者关注的点不同，可以自行添加或者修改；
</t>
        </r>
      </text>
    </comment>
    <comment ref="J21" authorId="3" shapeId="0" xr:uid="{00000000-0006-0000-0300-000010000000}">
      <text>
        <r>
          <rPr>
            <b/>
            <sz val="9"/>
            <rFont val="宋体"/>
            <charset val="134"/>
          </rPr>
          <t>棉花糖:</t>
        </r>
        <r>
          <rPr>
            <sz val="9"/>
            <rFont val="宋体"/>
            <charset val="134"/>
          </rPr>
          <t xml:space="preserve">
本月发放了2025年半年绩效</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pc</author>
    <author>win</author>
  </authors>
  <commentList>
    <comment ref="F2" authorId="0" shapeId="0" xr:uid="{00000000-0006-0000-0400-000001000000}">
      <text>
        <r>
          <rPr>
            <b/>
            <sz val="9"/>
            <rFont val="宋体"/>
            <charset val="134"/>
          </rPr>
          <t>Administrator:</t>
        </r>
        <r>
          <rPr>
            <sz val="9"/>
            <rFont val="宋体"/>
            <charset val="134"/>
          </rPr>
          <t xml:space="preserve">
年度分解的7月预算数</t>
        </r>
      </text>
    </comment>
    <comment ref="B3" authorId="1" shapeId="0" xr:uid="{00000000-0006-0000-0400-000002000000}">
      <text>
        <r>
          <rPr>
            <b/>
            <sz val="9"/>
            <rFont val="宋体"/>
            <charset val="134"/>
          </rPr>
          <t>pc:</t>
        </r>
        <r>
          <rPr>
            <sz val="9"/>
            <rFont val="宋体"/>
            <charset val="134"/>
          </rPr>
          <t xml:space="preserve">
招商部：不含开乐影城，指合同额。</t>
        </r>
      </text>
    </comment>
    <comment ref="B7" authorId="0" shapeId="0" xr:uid="{00000000-0006-0000-0400-000003000000}">
      <text>
        <r>
          <rPr>
            <b/>
            <sz val="9"/>
            <rFont val="宋体"/>
            <charset val="134"/>
          </rPr>
          <t>Administrator:</t>
        </r>
        <r>
          <rPr>
            <sz val="9"/>
            <rFont val="宋体"/>
            <charset val="134"/>
          </rPr>
          <t xml:space="preserve">
收入</t>
        </r>
      </text>
    </comment>
    <comment ref="B8" authorId="0" shapeId="0" xr:uid="{00000000-0006-0000-0400-000004000000}">
      <text>
        <r>
          <rPr>
            <b/>
            <sz val="9"/>
            <rFont val="宋体"/>
            <charset val="134"/>
          </rPr>
          <t>Administrator:</t>
        </r>
        <r>
          <rPr>
            <sz val="9"/>
            <rFont val="宋体"/>
            <charset val="134"/>
          </rPr>
          <t xml:space="preserve">
财务部，包括收银机服务费、工程特约维修款等</t>
        </r>
      </text>
    </comment>
    <comment ref="B9" authorId="0" shapeId="0" xr:uid="{00000000-0006-0000-0400-000005000000}">
      <text>
        <r>
          <rPr>
            <sz val="9"/>
            <rFont val="宋体"/>
            <charset val="134"/>
          </rPr>
          <t>Administrator:
包括美食广场、馋嘴巷子</t>
        </r>
      </text>
    </comment>
    <comment ref="B10" authorId="0" shapeId="0" xr:uid="{00000000-0006-0000-0400-000006000000}">
      <text>
        <r>
          <rPr>
            <b/>
            <sz val="9"/>
            <rFont val="宋体"/>
            <charset val="134"/>
          </rPr>
          <t>Administrator:</t>
        </r>
        <r>
          <rPr>
            <sz val="9"/>
            <rFont val="宋体"/>
            <charset val="134"/>
          </rPr>
          <t xml:space="preserve">
安环部填写，收入</t>
        </r>
      </text>
    </comment>
    <comment ref="B11" authorId="0" shapeId="0" xr:uid="{00000000-0006-0000-0400-000007000000}">
      <text>
        <r>
          <rPr>
            <b/>
            <sz val="9"/>
            <rFont val="宋体"/>
            <charset val="134"/>
          </rPr>
          <t>Administrator:</t>
        </r>
        <r>
          <rPr>
            <sz val="9"/>
            <rFont val="宋体"/>
            <charset val="134"/>
          </rPr>
          <t xml:space="preserve">
财务部填写，希尔顿租金</t>
        </r>
      </text>
    </comment>
    <comment ref="B12" authorId="0" shapeId="0" xr:uid="{00000000-0006-0000-0400-000008000000}">
      <text>
        <r>
          <rPr>
            <b/>
            <sz val="9"/>
            <rFont val="宋体"/>
            <charset val="134"/>
          </rPr>
          <t>Administrator:</t>
        </r>
        <r>
          <rPr>
            <sz val="9"/>
            <rFont val="宋体"/>
            <charset val="134"/>
          </rPr>
          <t xml:space="preserve">
工程部填写，商户能源费总额</t>
        </r>
      </text>
    </comment>
    <comment ref="B13" authorId="0" shapeId="0" xr:uid="{00000000-0006-0000-0400-000009000000}">
      <text>
        <r>
          <rPr>
            <b/>
            <sz val="9"/>
            <rFont val="宋体"/>
            <charset val="134"/>
          </rPr>
          <t>Administrator:</t>
        </r>
        <r>
          <rPr>
            <sz val="9"/>
            <rFont val="宋体"/>
            <charset val="134"/>
          </rPr>
          <t xml:space="preserve">
推广部市场收入</t>
        </r>
      </text>
    </comment>
    <comment ref="B14" authorId="0" shapeId="0" xr:uid="{00000000-0006-0000-0400-00000A000000}">
      <text>
        <r>
          <rPr>
            <b/>
            <sz val="9"/>
            <rFont val="宋体"/>
            <charset val="134"/>
          </rPr>
          <t xml:space="preserve">Administrator:
</t>
        </r>
        <r>
          <rPr>
            <sz val="9"/>
            <rFont val="宋体"/>
            <charset val="134"/>
          </rPr>
          <t>开乐影城经营利润</t>
        </r>
      </text>
    </comment>
    <comment ref="B18" authorId="1" shapeId="0" xr:uid="{00000000-0006-0000-0400-00000B000000}">
      <text>
        <r>
          <rPr>
            <b/>
            <sz val="9"/>
            <rFont val="宋体"/>
            <charset val="134"/>
          </rPr>
          <t>pc:</t>
        </r>
        <r>
          <rPr>
            <sz val="9"/>
            <rFont val="宋体"/>
            <charset val="134"/>
          </rPr>
          <t xml:space="preserve">
工程部指为商户垫付的电费、水费。</t>
        </r>
      </text>
    </comment>
    <comment ref="B19" authorId="0" shapeId="0" xr:uid="{00000000-0006-0000-0400-00000C000000}">
      <text>
        <r>
          <rPr>
            <b/>
            <sz val="9"/>
            <rFont val="宋体"/>
            <charset val="134"/>
          </rPr>
          <t>Administrator:</t>
        </r>
        <r>
          <rPr>
            <sz val="9"/>
            <rFont val="宋体"/>
            <charset val="134"/>
          </rPr>
          <t xml:space="preserve">
工程威高广场能源费</t>
        </r>
      </text>
    </comment>
    <comment ref="B20" authorId="0" shapeId="0" xr:uid="{00000000-0006-0000-0400-00000D000000}">
      <text>
        <r>
          <rPr>
            <b/>
            <sz val="9"/>
            <rFont val="宋体"/>
            <charset val="134"/>
          </rPr>
          <t>Administrator:</t>
        </r>
        <r>
          <rPr>
            <sz val="9"/>
            <rFont val="宋体"/>
            <charset val="134"/>
          </rPr>
          <t xml:space="preserve">
推广部+美食广场合计数</t>
        </r>
      </text>
    </comment>
    <comment ref="B21" authorId="0" shapeId="0" xr:uid="{00000000-0006-0000-0400-00000E000000}">
      <text>
        <r>
          <rPr>
            <b/>
            <sz val="9"/>
            <rFont val="宋体"/>
            <charset val="134"/>
          </rPr>
          <t>Administrator:</t>
        </r>
        <r>
          <rPr>
            <sz val="9"/>
            <rFont val="宋体"/>
            <charset val="134"/>
          </rPr>
          <t xml:space="preserve">
安环部外包方（保洁、理石、高空）</t>
        </r>
      </text>
    </comment>
    <comment ref="B22" authorId="0" shapeId="0" xr:uid="{00000000-0006-0000-0400-00000F000000}">
      <text>
        <r>
          <rPr>
            <b/>
            <sz val="9"/>
            <rFont val="宋体"/>
            <charset val="134"/>
          </rPr>
          <t>Administrator:</t>
        </r>
        <r>
          <rPr>
            <sz val="9"/>
            <rFont val="宋体"/>
            <charset val="134"/>
          </rPr>
          <t xml:space="preserve">
工程部出具包括工程+美食广场</t>
        </r>
      </text>
    </comment>
    <comment ref="D22" authorId="0" shapeId="0" xr:uid="{00000000-0006-0000-0400-000010000000}">
      <text>
        <r>
          <rPr>
            <b/>
            <sz val="9"/>
            <rFont val="宋体"/>
            <charset val="134"/>
          </rPr>
          <t>Administrator:</t>
        </r>
        <r>
          <rPr>
            <sz val="9"/>
            <rFont val="宋体"/>
            <charset val="134"/>
          </rPr>
          <t xml:space="preserve">
工程部：威高广场维修费</t>
        </r>
      </text>
    </comment>
    <comment ref="B23" authorId="0" shapeId="0" xr:uid="{00000000-0006-0000-0400-000011000000}">
      <text>
        <r>
          <rPr>
            <b/>
            <sz val="9"/>
            <rFont val="宋体"/>
            <charset val="134"/>
          </rPr>
          <t>Administrator:</t>
        </r>
        <r>
          <rPr>
            <sz val="9"/>
            <rFont val="宋体"/>
            <charset val="134"/>
          </rPr>
          <t xml:space="preserve">
工程部，包括设备设施维保费、工程类信息系统维保费</t>
        </r>
      </text>
    </comment>
    <comment ref="B25" authorId="0" shapeId="0" xr:uid="{00000000-0006-0000-0400-000012000000}">
      <text>
        <r>
          <rPr>
            <b/>
            <sz val="9"/>
            <rFont val="宋体"/>
            <charset val="134"/>
          </rPr>
          <t>Administrator:</t>
        </r>
        <r>
          <rPr>
            <sz val="9"/>
            <rFont val="宋体"/>
            <charset val="134"/>
          </rPr>
          <t xml:space="preserve">
工程部：新商户工程配套费，分摊到月度。</t>
        </r>
      </text>
    </comment>
    <comment ref="B29" authorId="0" shapeId="0" xr:uid="{00000000-0006-0000-0400-000013000000}">
      <text>
        <r>
          <rPr>
            <b/>
            <sz val="9"/>
            <rFont val="宋体"/>
            <charset val="134"/>
          </rPr>
          <t>Administrator:</t>
        </r>
        <r>
          <rPr>
            <sz val="9"/>
            <rFont val="宋体"/>
            <charset val="134"/>
          </rPr>
          <t xml:space="preserve">
财务部填写</t>
        </r>
      </text>
    </comment>
    <comment ref="B31" authorId="2" shapeId="0" xr:uid="{00000000-0006-0000-0400-000014000000}">
      <text>
        <r>
          <rPr>
            <b/>
            <sz val="9"/>
            <rFont val="宋体"/>
            <charset val="134"/>
          </rPr>
          <t>win:</t>
        </r>
        <r>
          <rPr>
            <sz val="9"/>
            <rFont val="宋体"/>
            <charset val="134"/>
          </rPr>
          <t xml:space="preserve">
综合部：苗寒春填写，当月购入的费用</t>
        </r>
      </text>
    </comment>
    <comment ref="B32" authorId="2" shapeId="0" xr:uid="{00000000-0006-0000-0400-000015000000}">
      <text>
        <r>
          <rPr>
            <b/>
            <sz val="9"/>
            <rFont val="宋体"/>
            <charset val="134"/>
          </rPr>
          <t>win:</t>
        </r>
        <r>
          <rPr>
            <sz val="9"/>
            <rFont val="宋体"/>
            <charset val="134"/>
          </rPr>
          <t xml:space="preserve">
财务：各部门通讯费合计</t>
        </r>
      </text>
    </comment>
    <comment ref="B33" authorId="0" shapeId="0" xr:uid="{00000000-0006-0000-0400-000016000000}">
      <text>
        <r>
          <rPr>
            <b/>
            <sz val="9"/>
            <rFont val="宋体"/>
            <charset val="134"/>
          </rPr>
          <t>Administrator:</t>
        </r>
        <r>
          <rPr>
            <sz val="9"/>
            <rFont val="宋体"/>
            <charset val="134"/>
          </rPr>
          <t xml:space="preserve">
综合部：</t>
        </r>
      </text>
    </comment>
    <comment ref="B34" authorId="2" shapeId="0" xr:uid="{00000000-0006-0000-0400-000017000000}">
      <text>
        <r>
          <rPr>
            <b/>
            <sz val="9"/>
            <rFont val="宋体"/>
            <charset val="134"/>
          </rPr>
          <t>win:</t>
        </r>
        <r>
          <rPr>
            <sz val="9"/>
            <rFont val="宋体"/>
            <charset val="134"/>
          </rPr>
          <t xml:space="preserve">
顾客部：投诉处理费、高端会员活动费等</t>
        </r>
      </text>
    </comment>
    <comment ref="D54" authorId="1" shapeId="0" xr:uid="{00000000-0006-0000-0400-000018000000}">
      <text>
        <r>
          <rPr>
            <b/>
            <sz val="9"/>
            <rFont val="宋体"/>
            <charset val="134"/>
          </rPr>
          <t>pc:</t>
        </r>
        <r>
          <rPr>
            <sz val="9"/>
            <rFont val="宋体"/>
            <charset val="134"/>
          </rPr>
          <t xml:space="preserve">
福利费（指以钱、物等方式发给员工的）；团建费；食堂费用</t>
        </r>
      </text>
    </comment>
    <comment ref="D55" authorId="1" shapeId="0" xr:uid="{00000000-0006-0000-0400-000019000000}">
      <text>
        <r>
          <rPr>
            <b/>
            <sz val="9"/>
            <rFont val="宋体"/>
            <charset val="134"/>
          </rPr>
          <t>pc:</t>
        </r>
        <r>
          <rPr>
            <sz val="9"/>
            <rFont val="宋体"/>
            <charset val="134"/>
          </rPr>
          <t xml:space="preserve">
工装、公司配备的防护用品等，以当月实际签收入帐为准</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王建华</author>
    <author>Admin</author>
    <author>pc</author>
  </authors>
  <commentList>
    <comment ref="F2" authorId="0" shapeId="0" xr:uid="{00000000-0006-0000-0600-000001000000}">
      <text>
        <r>
          <rPr>
            <sz val="9"/>
            <rFont val="宋体"/>
            <charset val="134"/>
          </rPr>
          <t>去年年底制定年度计划时就已经分解的新一年的每个月的月度分解目标。</t>
        </r>
      </text>
    </comment>
    <comment ref="G2" authorId="0" shapeId="0" xr:uid="{00000000-0006-0000-0600-000002000000}">
      <text>
        <r>
          <rPr>
            <sz val="9"/>
            <rFont val="宋体"/>
            <charset val="134"/>
          </rPr>
          <t>到了这个月来临前，根据当前的形势和情况，针对F列的当月目标进行调整得到的目标数据。</t>
        </r>
      </text>
    </comment>
    <comment ref="H2" authorId="1" shapeId="0" xr:uid="{00000000-0006-0000-0600-000003000000}">
      <text>
        <r>
          <rPr>
            <sz val="9"/>
            <rFont val="宋体"/>
            <charset val="134"/>
          </rPr>
          <t>左侧金额/总销售额（A5行）*100%</t>
        </r>
      </text>
    </comment>
    <comment ref="I2" authorId="0" shapeId="0" xr:uid="{00000000-0006-0000-0600-000004000000}">
      <text>
        <r>
          <rPr>
            <sz val="9"/>
            <rFont val="宋体"/>
            <charset val="134"/>
          </rPr>
          <t>这个月努力的结果。</t>
        </r>
      </text>
    </comment>
    <comment ref="J2" authorId="1" shapeId="0" xr:uid="{00000000-0006-0000-0600-000005000000}">
      <text>
        <r>
          <rPr>
            <sz val="9"/>
            <rFont val="宋体"/>
            <charset val="134"/>
          </rPr>
          <t>左侧金额/总销售额（A5行）*100%</t>
        </r>
      </text>
    </comment>
    <comment ref="K2" authorId="0" shapeId="0" xr:uid="{00000000-0006-0000-0600-000006000000}">
      <text>
        <r>
          <rPr>
            <sz val="9"/>
            <rFont val="宋体"/>
            <charset val="134"/>
          </rPr>
          <t>月度实绩—月度预定的差额。</t>
        </r>
      </text>
    </comment>
    <comment ref="L2" authorId="0" shapeId="0" xr:uid="{00000000-0006-0000-0600-000007000000}">
      <text>
        <r>
          <rPr>
            <sz val="9"/>
            <rFont val="宋体"/>
            <charset val="134"/>
          </rPr>
          <t>月度实绩/月度预定*100%</t>
        </r>
      </text>
    </comment>
    <comment ref="M2" authorId="0" shapeId="0" xr:uid="{00000000-0006-0000-0600-000008000000}">
      <text>
        <r>
          <rPr>
            <sz val="9"/>
            <rFont val="宋体"/>
            <charset val="134"/>
          </rPr>
          <t>月度实绩/年度计划当月目标*100%</t>
        </r>
      </text>
    </comment>
    <comment ref="C6" authorId="2" shapeId="0" xr:uid="{00000000-0006-0000-0600-000009000000}">
      <text>
        <r>
          <rPr>
            <b/>
            <sz val="9"/>
            <rFont val="宋体"/>
            <charset val="134"/>
          </rPr>
          <t>pc:</t>
        </r>
        <r>
          <rPr>
            <sz val="9"/>
            <rFont val="宋体"/>
            <charset val="134"/>
          </rPr>
          <t xml:space="preserve">
不含税</t>
        </r>
      </text>
    </comment>
    <comment ref="C11" authorId="0" shapeId="0" xr:uid="{00000000-0006-0000-0600-00000A000000}">
      <text>
        <r>
          <rPr>
            <sz val="9"/>
            <rFont val="宋体"/>
            <charset val="134"/>
          </rPr>
          <t>1、结算收益代表公司产生的附加价值，只不过不包含人工费；
2、结算收益＞人工费代表不亏钱。</t>
        </r>
      </text>
    </comment>
    <comment ref="C14" authorId="0" shapeId="0" xr:uid="{00000000-0006-0000-0600-00000B000000}">
      <text>
        <r>
          <rPr>
            <sz val="9"/>
            <rFont val="宋体"/>
            <charset val="134"/>
          </rPr>
          <t>总时间=正常出勤时间+加班时间，请假、休假应当扣除不计入出勤时间。</t>
        </r>
      </text>
    </comment>
    <comment ref="C15" authorId="0" shapeId="0" xr:uid="{00000000-0006-0000-0600-00000C000000}">
      <text>
        <r>
          <rPr>
            <sz val="9"/>
            <rFont val="宋体"/>
            <charset val="134"/>
          </rPr>
          <t>1、单位时间附加值=结算收益/总时间；
2、代表每小时创造的附加价值。</t>
        </r>
      </text>
    </comment>
    <comment ref="C16" authorId="0" shapeId="0" xr:uid="{00000000-0006-0000-0600-00000D000000}">
      <text>
        <r>
          <rPr>
            <sz val="9"/>
            <rFont val="宋体"/>
            <charset val="134"/>
          </rPr>
          <t>1、人数=月初公司人员数或（月初+月底之和/2)；一旦选择了某种人数确认方式，则每个月的标准要一致，不能变；
2、控制人数对提升单位时间附加值很重要。</t>
        </r>
      </text>
    </comment>
    <comment ref="A18" authorId="0" shapeId="0" xr:uid="{00000000-0006-0000-0600-00000E000000}">
      <text>
        <r>
          <rPr>
            <sz val="9"/>
            <rFont val="宋体"/>
            <charset val="134"/>
          </rPr>
          <t xml:space="preserve">1、栏外部分为企业个性化数据，每家企业根据自己的情况以及经营者关注的点不同，可以自行添加或者修改；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pc</author>
    <author>Unknown User</author>
    <author>win</author>
  </authors>
  <commentList>
    <comment ref="F2" authorId="0" shapeId="0" xr:uid="{00000000-0006-0000-0700-000001000000}">
      <text>
        <r>
          <rPr>
            <b/>
            <sz val="9"/>
            <rFont val="宋体"/>
            <charset val="134"/>
          </rPr>
          <t>Administrator:</t>
        </r>
        <r>
          <rPr>
            <sz val="9"/>
            <rFont val="宋体"/>
            <charset val="134"/>
          </rPr>
          <t xml:space="preserve">
年度分解的7月预算数</t>
        </r>
      </text>
    </comment>
    <comment ref="B3" authorId="1" shapeId="0" xr:uid="{00000000-0006-0000-0700-000002000000}">
      <text>
        <r>
          <rPr>
            <b/>
            <sz val="9"/>
            <rFont val="宋体"/>
            <charset val="134"/>
          </rPr>
          <t>pc:</t>
        </r>
        <r>
          <rPr>
            <sz val="9"/>
            <rFont val="宋体"/>
            <charset val="134"/>
          </rPr>
          <t xml:space="preserve">
招商部：不含开乐影城，指合同额。</t>
        </r>
      </text>
    </comment>
    <comment ref="B7" authorId="0" shapeId="0" xr:uid="{00000000-0006-0000-0700-000003000000}">
      <text>
        <r>
          <rPr>
            <b/>
            <sz val="9"/>
            <rFont val="宋体"/>
            <charset val="134"/>
          </rPr>
          <t>Administrator:</t>
        </r>
        <r>
          <rPr>
            <sz val="9"/>
            <rFont val="宋体"/>
            <charset val="134"/>
          </rPr>
          <t xml:space="preserve">
收入</t>
        </r>
      </text>
    </comment>
    <comment ref="B8" authorId="0" shapeId="0" xr:uid="{00000000-0006-0000-0700-000004000000}">
      <text>
        <r>
          <rPr>
            <b/>
            <sz val="9"/>
            <rFont val="宋体"/>
            <charset val="134"/>
          </rPr>
          <t>Administrator:</t>
        </r>
        <r>
          <rPr>
            <sz val="9"/>
            <rFont val="宋体"/>
            <charset val="134"/>
          </rPr>
          <t xml:space="preserve">
财务部，包括收银机服务费、工程特约维修款等</t>
        </r>
      </text>
    </comment>
    <comment ref="B9" authorId="0" shapeId="0" xr:uid="{00000000-0006-0000-0700-000005000000}">
      <text>
        <r>
          <rPr>
            <sz val="9"/>
            <rFont val="宋体"/>
            <charset val="134"/>
          </rPr>
          <t>Administrator:
包括美食广场、馋嘴巷子</t>
        </r>
      </text>
    </comment>
    <comment ref="B10" authorId="0" shapeId="0" xr:uid="{00000000-0006-0000-0700-000006000000}">
      <text>
        <r>
          <rPr>
            <b/>
            <sz val="9"/>
            <rFont val="宋体"/>
            <charset val="134"/>
          </rPr>
          <t>Administrator:</t>
        </r>
        <r>
          <rPr>
            <sz val="9"/>
            <rFont val="宋体"/>
            <charset val="134"/>
          </rPr>
          <t xml:space="preserve">
安环部填写，收入</t>
        </r>
      </text>
    </comment>
    <comment ref="B11" authorId="0" shapeId="0" xr:uid="{00000000-0006-0000-0700-000007000000}">
      <text>
        <r>
          <rPr>
            <b/>
            <sz val="9"/>
            <rFont val="宋体"/>
            <charset val="134"/>
          </rPr>
          <t>Administrator:</t>
        </r>
        <r>
          <rPr>
            <sz val="9"/>
            <rFont val="宋体"/>
            <charset val="134"/>
          </rPr>
          <t xml:space="preserve">
财务部填写，希尔顿租金</t>
        </r>
      </text>
    </comment>
    <comment ref="B12" authorId="0" shapeId="0" xr:uid="{00000000-0006-0000-0700-000008000000}">
      <text>
        <r>
          <rPr>
            <b/>
            <sz val="9"/>
            <rFont val="宋体"/>
            <charset val="134"/>
          </rPr>
          <t>Administrator:</t>
        </r>
        <r>
          <rPr>
            <sz val="9"/>
            <rFont val="宋体"/>
            <charset val="134"/>
          </rPr>
          <t xml:space="preserve">
工程部填写，商户能源费总额</t>
        </r>
      </text>
    </comment>
    <comment ref="B13" authorId="0" shapeId="0" xr:uid="{00000000-0006-0000-0700-000009000000}">
      <text>
        <r>
          <rPr>
            <b/>
            <sz val="9"/>
            <rFont val="宋体"/>
            <charset val="134"/>
          </rPr>
          <t>Administrator:</t>
        </r>
        <r>
          <rPr>
            <sz val="9"/>
            <rFont val="宋体"/>
            <charset val="134"/>
          </rPr>
          <t xml:space="preserve">
推广部市场收入</t>
        </r>
      </text>
    </comment>
    <comment ref="B14" authorId="0" shapeId="0" xr:uid="{00000000-0006-0000-0700-00000A000000}">
      <text>
        <r>
          <rPr>
            <b/>
            <sz val="9"/>
            <rFont val="宋体"/>
            <charset val="134"/>
          </rPr>
          <t xml:space="preserve">Administrator:
</t>
        </r>
        <r>
          <rPr>
            <sz val="9"/>
            <rFont val="宋体"/>
            <charset val="134"/>
          </rPr>
          <t>开乐影城经营利润</t>
        </r>
      </text>
    </comment>
    <comment ref="B18" authorId="1" shapeId="0" xr:uid="{00000000-0006-0000-0700-00000B000000}">
      <text>
        <r>
          <rPr>
            <b/>
            <sz val="9"/>
            <rFont val="宋体"/>
            <charset val="134"/>
          </rPr>
          <t>pc:</t>
        </r>
        <r>
          <rPr>
            <sz val="9"/>
            <rFont val="宋体"/>
            <charset val="134"/>
          </rPr>
          <t xml:space="preserve">
工程部指为商户垫付的电费、水费。</t>
        </r>
      </text>
    </comment>
    <comment ref="B19" authorId="0" shapeId="0" xr:uid="{00000000-0006-0000-0700-00000C000000}">
      <text>
        <r>
          <rPr>
            <b/>
            <sz val="9"/>
            <rFont val="宋体"/>
            <charset val="134"/>
          </rPr>
          <t>Administrator:</t>
        </r>
        <r>
          <rPr>
            <sz val="9"/>
            <rFont val="宋体"/>
            <charset val="134"/>
          </rPr>
          <t xml:space="preserve">
工程威高广场能源费</t>
        </r>
      </text>
    </comment>
    <comment ref="F19" authorId="2" shapeId="0" xr:uid="{00000000-0006-0000-0700-00000D000000}">
      <text>
        <r>
          <rPr>
            <b/>
            <sz val="9"/>
            <rFont val="宋体"/>
            <charset val="134"/>
          </rPr>
          <t>vivichen:</t>
        </r>
        <r>
          <rPr>
            <sz val="9"/>
            <rFont val="宋体"/>
            <charset val="134"/>
          </rPr>
          <t xml:space="preserve">
总数</t>
        </r>
      </text>
    </comment>
    <comment ref="G19" authorId="2" shapeId="0" xr:uid="{00000000-0006-0000-0700-00000E000000}">
      <text>
        <r>
          <rPr>
            <b/>
            <sz val="9"/>
            <rFont val="宋体"/>
            <charset val="134"/>
          </rPr>
          <t>vivichen:</t>
        </r>
        <r>
          <rPr>
            <sz val="9"/>
            <rFont val="宋体"/>
            <charset val="134"/>
          </rPr>
          <t xml:space="preserve">
总数</t>
        </r>
      </text>
    </comment>
    <comment ref="B20" authorId="0" shapeId="0" xr:uid="{00000000-0006-0000-0700-00000F000000}">
      <text>
        <r>
          <rPr>
            <b/>
            <sz val="9"/>
            <rFont val="宋体"/>
            <charset val="134"/>
          </rPr>
          <t>Administrator:</t>
        </r>
        <r>
          <rPr>
            <sz val="9"/>
            <rFont val="宋体"/>
            <charset val="134"/>
          </rPr>
          <t xml:space="preserve">
推广部+美食广场合计数</t>
        </r>
      </text>
    </comment>
    <comment ref="B21" authorId="0" shapeId="0" xr:uid="{00000000-0006-0000-0700-000010000000}">
      <text>
        <r>
          <rPr>
            <b/>
            <sz val="9"/>
            <rFont val="宋体"/>
            <charset val="134"/>
          </rPr>
          <t>Administrator:</t>
        </r>
        <r>
          <rPr>
            <sz val="9"/>
            <rFont val="宋体"/>
            <charset val="134"/>
          </rPr>
          <t xml:space="preserve">
安环部外包方（保洁、理石、高空）</t>
        </r>
      </text>
    </comment>
    <comment ref="B22" authorId="0" shapeId="0" xr:uid="{00000000-0006-0000-0700-000011000000}">
      <text>
        <r>
          <rPr>
            <b/>
            <sz val="9"/>
            <rFont val="宋体"/>
            <charset val="134"/>
          </rPr>
          <t>Administrator:</t>
        </r>
        <r>
          <rPr>
            <sz val="9"/>
            <rFont val="宋体"/>
            <charset val="134"/>
          </rPr>
          <t xml:space="preserve">
工程部出具包括工程+美食广场</t>
        </r>
      </text>
    </comment>
    <comment ref="D22" authorId="0" shapeId="0" xr:uid="{00000000-0006-0000-0700-000012000000}">
      <text>
        <r>
          <rPr>
            <b/>
            <sz val="9"/>
            <rFont val="宋体"/>
            <charset val="134"/>
          </rPr>
          <t>Administrator:</t>
        </r>
        <r>
          <rPr>
            <sz val="9"/>
            <rFont val="宋体"/>
            <charset val="134"/>
          </rPr>
          <t xml:space="preserve">
工程部：威高广场维修费</t>
        </r>
      </text>
    </comment>
    <comment ref="B23" authorId="0" shapeId="0" xr:uid="{00000000-0006-0000-0700-000013000000}">
      <text>
        <r>
          <rPr>
            <b/>
            <sz val="9"/>
            <rFont val="宋体"/>
            <charset val="134"/>
          </rPr>
          <t>Administrator:</t>
        </r>
        <r>
          <rPr>
            <sz val="9"/>
            <rFont val="宋体"/>
            <charset val="134"/>
          </rPr>
          <t xml:space="preserve">
工程部，包括设备设施维保费、工程类信息系统维保费</t>
        </r>
      </text>
    </comment>
    <comment ref="B25" authorId="0" shapeId="0" xr:uid="{00000000-0006-0000-0700-000014000000}">
      <text>
        <r>
          <rPr>
            <b/>
            <sz val="9"/>
            <rFont val="宋体"/>
            <charset val="134"/>
          </rPr>
          <t>Administrator:</t>
        </r>
        <r>
          <rPr>
            <sz val="9"/>
            <rFont val="宋体"/>
            <charset val="134"/>
          </rPr>
          <t xml:space="preserve">
工程部：新商户工程配套费，分摊到月度。</t>
        </r>
      </text>
    </comment>
    <comment ref="B29" authorId="0" shapeId="0" xr:uid="{00000000-0006-0000-0700-000015000000}">
      <text>
        <r>
          <rPr>
            <b/>
            <sz val="9"/>
            <rFont val="宋体"/>
            <charset val="134"/>
          </rPr>
          <t>Administrator:</t>
        </r>
        <r>
          <rPr>
            <sz val="9"/>
            <rFont val="宋体"/>
            <charset val="134"/>
          </rPr>
          <t xml:space="preserve">
财务部填写</t>
        </r>
      </text>
    </comment>
    <comment ref="B31" authorId="3" shapeId="0" xr:uid="{00000000-0006-0000-0700-000016000000}">
      <text>
        <r>
          <rPr>
            <b/>
            <sz val="9"/>
            <rFont val="宋体"/>
            <charset val="134"/>
          </rPr>
          <t>win:</t>
        </r>
        <r>
          <rPr>
            <sz val="9"/>
            <rFont val="宋体"/>
            <charset val="134"/>
          </rPr>
          <t xml:space="preserve">
综合部：苗寒春填写，当月购入的费用</t>
        </r>
      </text>
    </comment>
    <comment ref="B32" authorId="3" shapeId="0" xr:uid="{00000000-0006-0000-0700-000017000000}">
      <text>
        <r>
          <rPr>
            <b/>
            <sz val="9"/>
            <rFont val="宋体"/>
            <charset val="134"/>
          </rPr>
          <t>win:</t>
        </r>
        <r>
          <rPr>
            <sz val="9"/>
            <rFont val="宋体"/>
            <charset val="134"/>
          </rPr>
          <t xml:space="preserve">
财务：各部门通讯费合计</t>
        </r>
      </text>
    </comment>
    <comment ref="B33" authorId="0" shapeId="0" xr:uid="{00000000-0006-0000-0700-000018000000}">
      <text>
        <r>
          <rPr>
            <b/>
            <sz val="9"/>
            <rFont val="宋体"/>
            <charset val="134"/>
          </rPr>
          <t>Administrator:</t>
        </r>
        <r>
          <rPr>
            <sz val="9"/>
            <rFont val="宋体"/>
            <charset val="134"/>
          </rPr>
          <t xml:space="preserve">
综合部：</t>
        </r>
      </text>
    </comment>
    <comment ref="B34" authorId="3" shapeId="0" xr:uid="{00000000-0006-0000-0700-000019000000}">
      <text>
        <r>
          <rPr>
            <b/>
            <sz val="9"/>
            <rFont val="宋体"/>
            <charset val="134"/>
          </rPr>
          <t>win:</t>
        </r>
        <r>
          <rPr>
            <sz val="9"/>
            <rFont val="宋体"/>
            <charset val="134"/>
          </rPr>
          <t xml:space="preserve">
顾客部：投诉处理费、高端会员活动费等</t>
        </r>
      </text>
    </comment>
    <comment ref="D54" authorId="1" shapeId="0" xr:uid="{00000000-0006-0000-0700-00001A000000}">
      <text>
        <r>
          <rPr>
            <b/>
            <sz val="9"/>
            <rFont val="宋体"/>
            <charset val="134"/>
          </rPr>
          <t>pc:</t>
        </r>
        <r>
          <rPr>
            <sz val="9"/>
            <rFont val="宋体"/>
            <charset val="134"/>
          </rPr>
          <t xml:space="preserve">
福利费（指以钱、物等方式发给员工的）；团建费；食堂费用</t>
        </r>
      </text>
    </comment>
    <comment ref="D55" authorId="1" shapeId="0" xr:uid="{00000000-0006-0000-0700-00001B000000}">
      <text>
        <r>
          <rPr>
            <b/>
            <sz val="9"/>
            <rFont val="宋体"/>
            <charset val="134"/>
          </rPr>
          <t>pc:</t>
        </r>
        <r>
          <rPr>
            <sz val="9"/>
            <rFont val="宋体"/>
            <charset val="134"/>
          </rPr>
          <t xml:space="preserve">
工装、公司配备的防护用品等，以当月实际签收入帐为准</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王建华</author>
    <author>Admin</author>
    <author>pc</author>
  </authors>
  <commentList>
    <comment ref="F2" authorId="0" shapeId="0" xr:uid="{00000000-0006-0000-0900-000001000000}">
      <text>
        <r>
          <rPr>
            <sz val="9"/>
            <rFont val="宋体"/>
            <charset val="134"/>
          </rPr>
          <t>去年年底制定年度计划时就已经分解的新一年的每个月的月度分解目标。</t>
        </r>
      </text>
    </comment>
    <comment ref="G2" authorId="0" shapeId="0" xr:uid="{00000000-0006-0000-0900-000002000000}">
      <text>
        <r>
          <rPr>
            <sz val="9"/>
            <rFont val="宋体"/>
            <charset val="134"/>
          </rPr>
          <t>到了这个月来临前，根据当前的形势和情况，针对F列的当月目标进行调整得到的目标数据。</t>
        </r>
      </text>
    </comment>
    <comment ref="H2" authorId="1" shapeId="0" xr:uid="{00000000-0006-0000-0900-000003000000}">
      <text>
        <r>
          <rPr>
            <sz val="9"/>
            <rFont val="宋体"/>
            <charset val="134"/>
          </rPr>
          <t>左侧金额/总销售额（A5行）*100%</t>
        </r>
      </text>
    </comment>
    <comment ref="I2" authorId="0" shapeId="0" xr:uid="{00000000-0006-0000-0900-000004000000}">
      <text>
        <r>
          <rPr>
            <sz val="9"/>
            <rFont val="宋体"/>
            <charset val="134"/>
          </rPr>
          <t>这个月努力的结果。</t>
        </r>
      </text>
    </comment>
    <comment ref="J2" authorId="1" shapeId="0" xr:uid="{00000000-0006-0000-0900-000005000000}">
      <text>
        <r>
          <rPr>
            <sz val="9"/>
            <rFont val="宋体"/>
            <charset val="134"/>
          </rPr>
          <t>左侧金额/总销售额（A5行）*100%</t>
        </r>
      </text>
    </comment>
    <comment ref="K2" authorId="0" shapeId="0" xr:uid="{00000000-0006-0000-0900-000006000000}">
      <text>
        <r>
          <rPr>
            <sz val="9"/>
            <rFont val="宋体"/>
            <charset val="134"/>
          </rPr>
          <t>月度实绩—月度预定的差额。</t>
        </r>
      </text>
    </comment>
    <comment ref="L2" authorId="0" shapeId="0" xr:uid="{00000000-0006-0000-0900-000007000000}">
      <text>
        <r>
          <rPr>
            <sz val="9"/>
            <rFont val="宋体"/>
            <charset val="134"/>
          </rPr>
          <t>月度实绩/月度预定*100%</t>
        </r>
      </text>
    </comment>
    <comment ref="M2" authorId="0" shapeId="0" xr:uid="{00000000-0006-0000-0900-000008000000}">
      <text>
        <r>
          <rPr>
            <sz val="9"/>
            <rFont val="宋体"/>
            <charset val="134"/>
          </rPr>
          <t>月度实绩/年度计划当月目标*100%</t>
        </r>
      </text>
    </comment>
    <comment ref="C6" authorId="2" shapeId="0" xr:uid="{00000000-0006-0000-0900-000009000000}">
      <text>
        <r>
          <rPr>
            <b/>
            <sz val="9"/>
            <rFont val="宋体"/>
            <charset val="134"/>
          </rPr>
          <t>pc:</t>
        </r>
        <r>
          <rPr>
            <sz val="9"/>
            <rFont val="宋体"/>
            <charset val="134"/>
          </rPr>
          <t xml:space="preserve">
不含税</t>
        </r>
      </text>
    </comment>
    <comment ref="C11" authorId="0" shapeId="0" xr:uid="{00000000-0006-0000-0900-00000A000000}">
      <text>
        <r>
          <rPr>
            <sz val="9"/>
            <rFont val="宋体"/>
            <charset val="134"/>
          </rPr>
          <t>1、结算收益代表公司产生的附加价值，只不过不包含人工费；
2、结算收益＞人工费代表不亏钱。</t>
        </r>
      </text>
    </comment>
    <comment ref="C14" authorId="0" shapeId="0" xr:uid="{00000000-0006-0000-0900-00000B000000}">
      <text>
        <r>
          <rPr>
            <sz val="9"/>
            <rFont val="宋体"/>
            <charset val="134"/>
          </rPr>
          <t>总时间=正常出勤时间+加班时间，请假、休假应当扣除不计入出勤时间。</t>
        </r>
      </text>
    </comment>
    <comment ref="C15" authorId="0" shapeId="0" xr:uid="{00000000-0006-0000-0900-00000C000000}">
      <text>
        <r>
          <rPr>
            <sz val="9"/>
            <rFont val="宋体"/>
            <charset val="134"/>
          </rPr>
          <t>1、单位时间附加值=结算收益/总时间；
2、代表每小时创造的附加价值。</t>
        </r>
      </text>
    </comment>
    <comment ref="C16" authorId="0" shapeId="0" xr:uid="{00000000-0006-0000-0900-00000D000000}">
      <text>
        <r>
          <rPr>
            <sz val="9"/>
            <rFont val="宋体"/>
            <charset val="134"/>
          </rPr>
          <t>1、人数=月初公司人员数或（月初+月底之和/2)；一旦选择了某种人数确认方式，则每个月的标准要一致，不能变；
2、控制人数对提升单位时间附加值很重要。</t>
        </r>
      </text>
    </comment>
    <comment ref="A18" authorId="0" shapeId="0" xr:uid="{00000000-0006-0000-0900-00000E000000}">
      <text>
        <r>
          <rPr>
            <sz val="9"/>
            <rFont val="宋体"/>
            <charset val="134"/>
          </rPr>
          <t xml:space="preserve">1、栏外部分为企业个性化数据，每家企业根据自己的情况以及经营者关注的点不同，可以自行添加或者修改；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Administrator</author>
    <author>pc</author>
    <author>Unknown User</author>
    <author>win</author>
  </authors>
  <commentList>
    <comment ref="F2" authorId="0" shapeId="0" xr:uid="{00000000-0006-0000-0A00-000001000000}">
      <text>
        <r>
          <rPr>
            <b/>
            <sz val="9"/>
            <rFont val="宋体"/>
            <charset val="134"/>
          </rPr>
          <t>Administrator:</t>
        </r>
        <r>
          <rPr>
            <sz val="9"/>
            <rFont val="宋体"/>
            <charset val="134"/>
          </rPr>
          <t xml:space="preserve">
年度分解的7月预算数</t>
        </r>
      </text>
    </comment>
    <comment ref="B3" authorId="1" shapeId="0" xr:uid="{00000000-0006-0000-0A00-000002000000}">
      <text>
        <r>
          <rPr>
            <b/>
            <sz val="9"/>
            <rFont val="宋体"/>
            <charset val="134"/>
          </rPr>
          <t>pc:</t>
        </r>
        <r>
          <rPr>
            <sz val="9"/>
            <rFont val="宋体"/>
            <charset val="134"/>
          </rPr>
          <t xml:space="preserve">
招商部：不含开乐影城，指合同额。</t>
        </r>
      </text>
    </comment>
    <comment ref="B7" authorId="0" shapeId="0" xr:uid="{00000000-0006-0000-0A00-000003000000}">
      <text>
        <r>
          <rPr>
            <b/>
            <sz val="9"/>
            <rFont val="宋体"/>
            <charset val="134"/>
          </rPr>
          <t>Administrator:</t>
        </r>
        <r>
          <rPr>
            <sz val="9"/>
            <rFont val="宋体"/>
            <charset val="134"/>
          </rPr>
          <t xml:space="preserve">
收入</t>
        </r>
      </text>
    </comment>
    <comment ref="B8" authorId="0" shapeId="0" xr:uid="{00000000-0006-0000-0A00-000004000000}">
      <text>
        <r>
          <rPr>
            <b/>
            <sz val="9"/>
            <rFont val="宋体"/>
            <charset val="134"/>
          </rPr>
          <t>Administrator:</t>
        </r>
        <r>
          <rPr>
            <sz val="9"/>
            <rFont val="宋体"/>
            <charset val="134"/>
          </rPr>
          <t xml:space="preserve">
财务部，包括收银机服务费、工程特约维修款等</t>
        </r>
      </text>
    </comment>
    <comment ref="B9" authorId="0" shapeId="0" xr:uid="{00000000-0006-0000-0A00-000005000000}">
      <text>
        <r>
          <rPr>
            <sz val="9"/>
            <rFont val="宋体"/>
            <charset val="134"/>
          </rPr>
          <t>Administrator:
包括美食广场、馋嘴巷子</t>
        </r>
      </text>
    </comment>
    <comment ref="B10" authorId="0" shapeId="0" xr:uid="{00000000-0006-0000-0A00-000006000000}">
      <text>
        <r>
          <rPr>
            <b/>
            <sz val="9"/>
            <rFont val="宋体"/>
            <charset val="134"/>
          </rPr>
          <t>Administrator:</t>
        </r>
        <r>
          <rPr>
            <sz val="9"/>
            <rFont val="宋体"/>
            <charset val="134"/>
          </rPr>
          <t xml:space="preserve">
安环部填写，收入</t>
        </r>
      </text>
    </comment>
    <comment ref="B11" authorId="0" shapeId="0" xr:uid="{00000000-0006-0000-0A00-000007000000}">
      <text>
        <r>
          <rPr>
            <b/>
            <sz val="9"/>
            <rFont val="宋体"/>
            <charset val="134"/>
          </rPr>
          <t>Administrator:</t>
        </r>
        <r>
          <rPr>
            <sz val="9"/>
            <rFont val="宋体"/>
            <charset val="134"/>
          </rPr>
          <t xml:space="preserve">
财务部填写，希尔顿租金</t>
        </r>
      </text>
    </comment>
    <comment ref="B12" authorId="0" shapeId="0" xr:uid="{00000000-0006-0000-0A00-000008000000}">
      <text>
        <r>
          <rPr>
            <b/>
            <sz val="9"/>
            <rFont val="宋体"/>
            <charset val="134"/>
          </rPr>
          <t>Administrator:</t>
        </r>
        <r>
          <rPr>
            <sz val="9"/>
            <rFont val="宋体"/>
            <charset val="134"/>
          </rPr>
          <t xml:space="preserve">
工程部填写，商户能源费总额</t>
        </r>
      </text>
    </comment>
    <comment ref="B13" authorId="0" shapeId="0" xr:uid="{00000000-0006-0000-0A00-000009000000}">
      <text>
        <r>
          <rPr>
            <b/>
            <sz val="9"/>
            <rFont val="宋体"/>
            <charset val="134"/>
          </rPr>
          <t>Administrator:</t>
        </r>
        <r>
          <rPr>
            <sz val="9"/>
            <rFont val="宋体"/>
            <charset val="134"/>
          </rPr>
          <t xml:space="preserve">
推广部市场收入</t>
        </r>
      </text>
    </comment>
    <comment ref="B14" authorId="0" shapeId="0" xr:uid="{00000000-0006-0000-0A00-00000A000000}">
      <text>
        <r>
          <rPr>
            <b/>
            <sz val="9"/>
            <rFont val="宋体"/>
            <charset val="134"/>
          </rPr>
          <t xml:space="preserve">Administrator:
</t>
        </r>
        <r>
          <rPr>
            <sz val="9"/>
            <rFont val="宋体"/>
            <charset val="134"/>
          </rPr>
          <t>开乐影城经营利润</t>
        </r>
      </text>
    </comment>
    <comment ref="B18" authorId="1" shapeId="0" xr:uid="{00000000-0006-0000-0A00-00000B000000}">
      <text>
        <r>
          <rPr>
            <b/>
            <sz val="9"/>
            <rFont val="宋体"/>
            <charset val="134"/>
          </rPr>
          <t>pc:</t>
        </r>
        <r>
          <rPr>
            <sz val="9"/>
            <rFont val="宋体"/>
            <charset val="134"/>
          </rPr>
          <t xml:space="preserve">
工程部指为商户垫付的电费、水费。</t>
        </r>
      </text>
    </comment>
    <comment ref="B19" authorId="0" shapeId="0" xr:uid="{00000000-0006-0000-0A00-00000C000000}">
      <text>
        <r>
          <rPr>
            <b/>
            <sz val="9"/>
            <rFont val="宋体"/>
            <charset val="134"/>
          </rPr>
          <t>Administrator:</t>
        </r>
        <r>
          <rPr>
            <sz val="9"/>
            <rFont val="宋体"/>
            <charset val="134"/>
          </rPr>
          <t xml:space="preserve">
工程威高广场能源费</t>
        </r>
      </text>
    </comment>
    <comment ref="F19" authorId="2" shapeId="0" xr:uid="{00000000-0006-0000-0A00-00000D000000}">
      <text>
        <r>
          <rPr>
            <b/>
            <sz val="9"/>
            <rFont val="宋体"/>
            <charset val="134"/>
          </rPr>
          <t>vivichen:</t>
        </r>
        <r>
          <rPr>
            <sz val="9"/>
            <rFont val="宋体"/>
            <charset val="134"/>
          </rPr>
          <t xml:space="preserve">
总数</t>
        </r>
      </text>
    </comment>
    <comment ref="G19" authorId="2" shapeId="0" xr:uid="{00000000-0006-0000-0A00-00000E000000}">
      <text>
        <r>
          <rPr>
            <b/>
            <sz val="9"/>
            <rFont val="宋体"/>
            <charset val="134"/>
          </rPr>
          <t>vivichen:</t>
        </r>
        <r>
          <rPr>
            <sz val="9"/>
            <rFont val="宋体"/>
            <charset val="134"/>
          </rPr>
          <t xml:space="preserve">
总数</t>
        </r>
      </text>
    </comment>
    <comment ref="B20" authorId="0" shapeId="0" xr:uid="{00000000-0006-0000-0A00-00000F000000}">
      <text>
        <r>
          <rPr>
            <b/>
            <sz val="9"/>
            <rFont val="宋体"/>
            <charset val="134"/>
          </rPr>
          <t>Administrator:</t>
        </r>
        <r>
          <rPr>
            <sz val="9"/>
            <rFont val="宋体"/>
            <charset val="134"/>
          </rPr>
          <t xml:space="preserve">
推广部+美食广场合计数</t>
        </r>
      </text>
    </comment>
    <comment ref="B21" authorId="0" shapeId="0" xr:uid="{00000000-0006-0000-0A00-000010000000}">
      <text>
        <r>
          <rPr>
            <b/>
            <sz val="9"/>
            <rFont val="宋体"/>
            <charset val="134"/>
          </rPr>
          <t>Administrator:</t>
        </r>
        <r>
          <rPr>
            <sz val="9"/>
            <rFont val="宋体"/>
            <charset val="134"/>
          </rPr>
          <t xml:space="preserve">
安环部外包方（保洁、理石、高空）</t>
        </r>
      </text>
    </comment>
    <comment ref="B22" authorId="0" shapeId="0" xr:uid="{00000000-0006-0000-0A00-000011000000}">
      <text>
        <r>
          <rPr>
            <b/>
            <sz val="9"/>
            <rFont val="宋体"/>
            <charset val="134"/>
          </rPr>
          <t>Administrator:</t>
        </r>
        <r>
          <rPr>
            <sz val="9"/>
            <rFont val="宋体"/>
            <charset val="134"/>
          </rPr>
          <t xml:space="preserve">
工程部出具包括工程+美食广场</t>
        </r>
      </text>
    </comment>
    <comment ref="D22" authorId="0" shapeId="0" xr:uid="{00000000-0006-0000-0A00-000012000000}">
      <text>
        <r>
          <rPr>
            <b/>
            <sz val="9"/>
            <rFont val="宋体"/>
            <charset val="134"/>
          </rPr>
          <t>Administrator:</t>
        </r>
        <r>
          <rPr>
            <sz val="9"/>
            <rFont val="宋体"/>
            <charset val="134"/>
          </rPr>
          <t xml:space="preserve">
工程部：威高广场维修费</t>
        </r>
      </text>
    </comment>
    <comment ref="B23" authorId="0" shapeId="0" xr:uid="{00000000-0006-0000-0A00-000013000000}">
      <text>
        <r>
          <rPr>
            <b/>
            <sz val="9"/>
            <rFont val="宋体"/>
            <charset val="134"/>
          </rPr>
          <t>Administrator:</t>
        </r>
        <r>
          <rPr>
            <sz val="9"/>
            <rFont val="宋体"/>
            <charset val="134"/>
          </rPr>
          <t xml:space="preserve">
工程部，包括设备设施维保费、工程类信息系统维保费</t>
        </r>
      </text>
    </comment>
    <comment ref="B25" authorId="0" shapeId="0" xr:uid="{00000000-0006-0000-0A00-000014000000}">
      <text>
        <r>
          <rPr>
            <b/>
            <sz val="9"/>
            <rFont val="宋体"/>
            <charset val="134"/>
          </rPr>
          <t>Administrator:</t>
        </r>
        <r>
          <rPr>
            <sz val="9"/>
            <rFont val="宋体"/>
            <charset val="134"/>
          </rPr>
          <t xml:space="preserve">
工程部：新商户工程配套费，分摊到月度。</t>
        </r>
      </text>
    </comment>
    <comment ref="B29" authorId="0" shapeId="0" xr:uid="{00000000-0006-0000-0A00-000015000000}">
      <text>
        <r>
          <rPr>
            <b/>
            <sz val="9"/>
            <rFont val="宋体"/>
            <charset val="134"/>
          </rPr>
          <t>Administrator:</t>
        </r>
        <r>
          <rPr>
            <sz val="9"/>
            <rFont val="宋体"/>
            <charset val="134"/>
          </rPr>
          <t xml:space="preserve">
财务部填写</t>
        </r>
      </text>
    </comment>
    <comment ref="B31" authorId="3" shapeId="0" xr:uid="{00000000-0006-0000-0A00-000016000000}">
      <text>
        <r>
          <rPr>
            <b/>
            <sz val="9"/>
            <rFont val="宋体"/>
            <charset val="134"/>
          </rPr>
          <t>win:</t>
        </r>
        <r>
          <rPr>
            <sz val="9"/>
            <rFont val="宋体"/>
            <charset val="134"/>
          </rPr>
          <t xml:space="preserve">
综合部：苗寒春填写，当月购入的费用</t>
        </r>
      </text>
    </comment>
    <comment ref="B32" authorId="3" shapeId="0" xr:uid="{00000000-0006-0000-0A00-000017000000}">
      <text>
        <r>
          <rPr>
            <b/>
            <sz val="9"/>
            <rFont val="宋体"/>
            <charset val="134"/>
          </rPr>
          <t>win:</t>
        </r>
        <r>
          <rPr>
            <sz val="9"/>
            <rFont val="宋体"/>
            <charset val="134"/>
          </rPr>
          <t xml:space="preserve">
财务：各部门通讯费合计</t>
        </r>
      </text>
    </comment>
    <comment ref="B33" authorId="0" shapeId="0" xr:uid="{00000000-0006-0000-0A00-000018000000}">
      <text>
        <r>
          <rPr>
            <b/>
            <sz val="9"/>
            <rFont val="宋体"/>
            <charset val="134"/>
          </rPr>
          <t>Administrator:</t>
        </r>
        <r>
          <rPr>
            <sz val="9"/>
            <rFont val="宋体"/>
            <charset val="134"/>
          </rPr>
          <t xml:space="preserve">
综合部：</t>
        </r>
      </text>
    </comment>
    <comment ref="B34" authorId="3" shapeId="0" xr:uid="{00000000-0006-0000-0A00-000019000000}">
      <text>
        <r>
          <rPr>
            <b/>
            <sz val="9"/>
            <rFont val="宋体"/>
            <charset val="134"/>
          </rPr>
          <t>win:</t>
        </r>
        <r>
          <rPr>
            <sz val="9"/>
            <rFont val="宋体"/>
            <charset val="134"/>
          </rPr>
          <t xml:space="preserve">
顾客部：投诉处理费、高端会员活动费等</t>
        </r>
      </text>
    </comment>
    <comment ref="D54" authorId="1" shapeId="0" xr:uid="{00000000-0006-0000-0A00-00001A000000}">
      <text>
        <r>
          <rPr>
            <b/>
            <sz val="9"/>
            <rFont val="宋体"/>
            <charset val="134"/>
          </rPr>
          <t>pc:</t>
        </r>
        <r>
          <rPr>
            <sz val="9"/>
            <rFont val="宋体"/>
            <charset val="134"/>
          </rPr>
          <t xml:space="preserve">
福利费（指以钱、物等方式发给员工的）；团建费；食堂费用</t>
        </r>
      </text>
    </comment>
    <comment ref="D55" authorId="1" shapeId="0" xr:uid="{00000000-0006-0000-0A00-00001B000000}">
      <text>
        <r>
          <rPr>
            <b/>
            <sz val="9"/>
            <rFont val="宋体"/>
            <charset val="134"/>
          </rPr>
          <t>pc:</t>
        </r>
        <r>
          <rPr>
            <sz val="9"/>
            <rFont val="宋体"/>
            <charset val="134"/>
          </rPr>
          <t xml:space="preserve">
工装、公司配备的防护用品等，以当月实际签收入帐为准</t>
        </r>
      </text>
    </comment>
  </commentList>
</comments>
</file>

<file path=xl/sharedStrings.xml><?xml version="1.0" encoding="utf-8"?>
<sst xmlns="http://schemas.openxmlformats.org/spreadsheetml/2006/main" count="1404" uniqueCount="384">
  <si>
    <t xml:space="preserve">  ____商管公司__2026年 1月度核算表（实际）</t>
  </si>
  <si>
    <t>项目</t>
  </si>
  <si>
    <t>序号</t>
  </si>
  <si>
    <t>科目</t>
  </si>
  <si>
    <t>计算公式</t>
  </si>
  <si>
    <t>1月实际</t>
  </si>
  <si>
    <t>年度预算 
当月目标</t>
  </si>
  <si>
    <t>月度预定</t>
  </si>
  <si>
    <t>销售额
占比</t>
  </si>
  <si>
    <t>月度实绩</t>
  </si>
  <si>
    <t>预（定）实
（绩）差异额</t>
  </si>
  <si>
    <t>（实绩达成）
预定比</t>
  </si>
  <si>
    <t>（实绩达成）
年度预算比</t>
  </si>
  <si>
    <t>2月预定/1月实际</t>
  </si>
  <si>
    <t>收入</t>
  </si>
  <si>
    <t>A1</t>
  </si>
  <si>
    <t>民俗邨项目</t>
  </si>
  <si>
    <t>从软件直接取数或统计明细</t>
  </si>
  <si>
    <t>A2</t>
  </si>
  <si>
    <t>时光城项目</t>
  </si>
  <si>
    <t>A3</t>
  </si>
  <si>
    <t>威高广场项目</t>
  </si>
  <si>
    <t>A</t>
  </si>
  <si>
    <t>总销售额</t>
  </si>
  <si>
    <t>A=A1+A2+A3+A4</t>
  </si>
  <si>
    <t>费用</t>
  </si>
  <si>
    <t>B1</t>
  </si>
  <si>
    <t>B2</t>
  </si>
  <si>
    <t>B3</t>
  </si>
  <si>
    <t>B</t>
  </si>
  <si>
    <t>费用合计</t>
  </si>
  <si>
    <t>B=B1+B2+B3+.....+Bn</t>
  </si>
  <si>
    <t>附加价值部分</t>
  </si>
  <si>
    <t>E</t>
  </si>
  <si>
    <t>结算收益（总附加价值）</t>
  </si>
  <si>
    <t>E=C-D</t>
  </si>
  <si>
    <t>时间</t>
  </si>
  <si>
    <t>F1</t>
  </si>
  <si>
    <t>正常出勤时间</t>
  </si>
  <si>
    <t>F2</t>
  </si>
  <si>
    <t>加班时间</t>
  </si>
  <si>
    <t>F</t>
  </si>
  <si>
    <t>总时间</t>
  </si>
  <si>
    <t>F=F1+F2+F3</t>
  </si>
  <si>
    <t>单位时间附加值部分</t>
  </si>
  <si>
    <t>G</t>
  </si>
  <si>
    <t>单位时间附加价值</t>
  </si>
  <si>
    <t>G=E/F</t>
  </si>
  <si>
    <t>其他（根据自家企业特点自行添加）主要是做好余额管理</t>
  </si>
  <si>
    <t>J</t>
  </si>
  <si>
    <t>人数</t>
  </si>
  <si>
    <t>K</t>
  </si>
  <si>
    <t>直接取数</t>
  </si>
  <si>
    <t>——</t>
  </si>
  <si>
    <t>L</t>
  </si>
  <si>
    <t>L=A/J</t>
  </si>
  <si>
    <t>M</t>
  </si>
  <si>
    <t>盘点表</t>
  </si>
  <si>
    <t>以下为企业经营者及高管需要掌握的信息(根据企业情况而定）</t>
  </si>
  <si>
    <t>核算表栏外部分（经营者及管理层需要掌握）</t>
  </si>
  <si>
    <t>N</t>
  </si>
  <si>
    <t>人工费</t>
  </si>
  <si>
    <t>从软件直接取数或工资表+福利</t>
  </si>
  <si>
    <t>O</t>
  </si>
  <si>
    <t>税前利润</t>
  </si>
  <si>
    <t>0=E-N</t>
  </si>
  <si>
    <t>P</t>
  </si>
  <si>
    <t>税前利润率</t>
  </si>
  <si>
    <t>P=0/A *100%</t>
  </si>
  <si>
    <t>Q</t>
  </si>
  <si>
    <t>单位时间人工费</t>
  </si>
  <si>
    <t>Q=N/F</t>
  </si>
  <si>
    <t>威高广场整体核算表（1月实际）</t>
  </si>
  <si>
    <t>1月份完成情况</t>
  </si>
  <si>
    <t>月度预算</t>
  </si>
  <si>
    <t>销售额占比</t>
  </si>
  <si>
    <t>月度实际</t>
  </si>
  <si>
    <t>预实差异额</t>
  </si>
  <si>
    <t>预实完成比</t>
  </si>
  <si>
    <t>实际完成预算比</t>
  </si>
  <si>
    <t>2月预定/1月完成</t>
  </si>
  <si>
    <t>销售最大化</t>
  </si>
  <si>
    <t>A馆</t>
  </si>
  <si>
    <t>B馆</t>
  </si>
  <si>
    <t>C馆</t>
  </si>
  <si>
    <t>租赁版块小计</t>
  </si>
  <si>
    <t>停车场收入</t>
  </si>
  <si>
    <t>A4</t>
  </si>
  <si>
    <t>其他收入</t>
  </si>
  <si>
    <t>A5</t>
  </si>
  <si>
    <t>餐饮部</t>
  </si>
  <si>
    <t>A6</t>
  </si>
  <si>
    <t>写字楼</t>
  </si>
  <si>
    <t>A7</t>
  </si>
  <si>
    <t>酒店及配套</t>
  </si>
  <si>
    <t>A8</t>
  </si>
  <si>
    <t>能源收入</t>
  </si>
  <si>
    <t>A9</t>
  </si>
  <si>
    <t>推广收入</t>
  </si>
  <si>
    <t>A10</t>
  </si>
  <si>
    <t>开乐影城</t>
  </si>
  <si>
    <t>A11</t>
  </si>
  <si>
    <t xml:space="preserve">    总收入金额    </t>
  </si>
  <si>
    <r>
      <rPr>
        <b/>
        <sz val="10"/>
        <rFont val="微软雅黑"/>
        <charset val="134"/>
      </rPr>
      <t>A</t>
    </r>
    <r>
      <rPr>
        <b/>
        <sz val="10"/>
        <color indexed="8"/>
        <rFont val="微软雅黑"/>
        <charset val="134"/>
      </rPr>
      <t>=A1+...A6</t>
    </r>
  </si>
  <si>
    <t>年度销售额累计</t>
  </si>
  <si>
    <t>费用最小化</t>
  </si>
  <si>
    <t>财务费用（利息）</t>
  </si>
  <si>
    <t>商户能源费</t>
  </si>
  <si>
    <t>公区能源费</t>
  </si>
  <si>
    <t>F3</t>
  </si>
  <si>
    <t>推广费</t>
  </si>
  <si>
    <t>F4</t>
  </si>
  <si>
    <t>外包费用</t>
  </si>
  <si>
    <t>F5</t>
  </si>
  <si>
    <t>修理费</t>
  </si>
  <si>
    <t>F6</t>
  </si>
  <si>
    <t>维保费</t>
  </si>
  <si>
    <t>F7</t>
  </si>
  <si>
    <t>法律事务费</t>
  </si>
  <si>
    <t>F8</t>
  </si>
  <si>
    <t>招商配套费</t>
  </si>
  <si>
    <t>F10</t>
  </si>
  <si>
    <t>财务费用（保险）</t>
  </si>
  <si>
    <t>F11</t>
  </si>
  <si>
    <t>F12</t>
  </si>
  <si>
    <t>业务招待费</t>
  </si>
  <si>
    <t>F13</t>
  </si>
  <si>
    <t>F14</t>
  </si>
  <si>
    <t>差旅费</t>
  </si>
  <si>
    <t>F15</t>
  </si>
  <si>
    <t>办公费用</t>
  </si>
  <si>
    <t>F16</t>
  </si>
  <si>
    <t>通讯费</t>
  </si>
  <si>
    <t>F17</t>
  </si>
  <si>
    <t>网络费</t>
  </si>
  <si>
    <t>F18</t>
  </si>
  <si>
    <t>对客服务费</t>
  </si>
  <si>
    <t>F19</t>
  </si>
  <si>
    <t>结算收益（附加价值）</t>
  </si>
  <si>
    <t>I=A-G</t>
  </si>
  <si>
    <t>效率最大化</t>
  </si>
  <si>
    <t>平均总投入人员（个）</t>
  </si>
  <si>
    <t>正常人员</t>
  </si>
  <si>
    <t>L1</t>
  </si>
  <si>
    <t>新增人员</t>
  </si>
  <si>
    <t>L2</t>
  </si>
  <si>
    <t>总人员合计</t>
  </si>
  <si>
    <t>L=L1+L2</t>
  </si>
  <si>
    <t>总时间（小时）</t>
  </si>
  <si>
    <t>正常时间</t>
  </si>
  <si>
    <t>M1</t>
  </si>
  <si>
    <t>M2</t>
  </si>
  <si>
    <t>总时间合计</t>
  </si>
  <si>
    <t>M=M1+M2+M3</t>
  </si>
  <si>
    <t>单位时间附加价值（元/小时）</t>
  </si>
  <si>
    <t>O=I/M</t>
  </si>
  <si>
    <t>重点指标</t>
  </si>
  <si>
    <t>当月意向合同额</t>
  </si>
  <si>
    <t>按统计数据填写</t>
  </si>
  <si>
    <t>当月招商配套费</t>
  </si>
  <si>
    <t>当月回收额</t>
  </si>
  <si>
    <t>威高广场商户销售额（含汽车）</t>
  </si>
  <si>
    <t>月度掉铺率</t>
  </si>
  <si>
    <t>表 外 管 理 部 分(根据企业情况自行选择）</t>
  </si>
  <si>
    <t>全员幸福</t>
  </si>
  <si>
    <t>J1工资</t>
  </si>
  <si>
    <t>J2社会保险</t>
  </si>
  <si>
    <t>J3公积金</t>
  </si>
  <si>
    <t>J4培训费</t>
  </si>
  <si>
    <t>J3福利费</t>
  </si>
  <si>
    <t>J5劳保费</t>
  </si>
  <si>
    <t>全员幸福费用合计（薪资加福利）</t>
  </si>
  <si>
    <t>J=J1+J2+……</t>
  </si>
  <si>
    <t>单位时间劳务费</t>
  </si>
  <si>
    <t>K=J/M</t>
  </si>
  <si>
    <t>N=I-J</t>
  </si>
  <si>
    <t>O=N/A*100%</t>
  </si>
  <si>
    <t xml:space="preserve">盈亏平衡销售额     </t>
  </si>
  <si>
    <t>R=  (H+J)/Q</t>
  </si>
  <si>
    <t xml:space="preserve">盈亏平衡安全度    </t>
  </si>
  <si>
    <t>S=A/R</t>
  </si>
  <si>
    <t>客流量</t>
  </si>
  <si>
    <t>2026年1月时间实际</t>
  </si>
  <si>
    <t>注：人员数量如有变化，请及时更改，填写粉色区域</t>
  </si>
  <si>
    <t>部门</t>
  </si>
  <si>
    <t>预定</t>
  </si>
  <si>
    <t>实际</t>
  </si>
  <si>
    <t>营销</t>
  </si>
  <si>
    <t>环境（NPC）</t>
  </si>
  <si>
    <t>环境（PC）</t>
  </si>
  <si>
    <t>工程</t>
  </si>
  <si>
    <t>财务</t>
  </si>
  <si>
    <t>综合</t>
  </si>
  <si>
    <t>美食广场</t>
  </si>
  <si>
    <t>运营中心</t>
  </si>
  <si>
    <t>招商中心</t>
  </si>
  <si>
    <t>顾客中心</t>
  </si>
  <si>
    <t>安管中心（PC）</t>
  </si>
  <si>
    <t>安管中心（NPC）</t>
  </si>
  <si>
    <t>合计</t>
  </si>
  <si>
    <t>总计</t>
  </si>
  <si>
    <t xml:space="preserve">  ____商管公司__2026年 2月度核算表（实际）</t>
  </si>
  <si>
    <t>威高广场整体核算表（2月实际）</t>
  </si>
  <si>
    <t>网络通讯费</t>
  </si>
  <si>
    <t>2026年2月时间预定</t>
  </si>
  <si>
    <t xml:space="preserve">  ____商管公司__2026年 3月度核算表（实际）</t>
  </si>
  <si>
    <t>2月实际</t>
  </si>
  <si>
    <t>威高广场整体核算表（3月实际）</t>
  </si>
  <si>
    <t>2月份完成情况</t>
  </si>
  <si>
    <t>3月预定/2月完成</t>
  </si>
  <si>
    <t>-</t>
  </si>
  <si>
    <t>/</t>
  </si>
  <si>
    <t>2026年3月时间实际</t>
  </si>
  <si>
    <t xml:space="preserve">  ____商管公司__2026年 4月度核算表（预定）</t>
  </si>
  <si>
    <t>3月实际</t>
  </si>
  <si>
    <t>威高广场整体核算表（4月预定）</t>
  </si>
  <si>
    <t>3月份完成情况</t>
  </si>
  <si>
    <t>2026年4月时间预定</t>
  </si>
  <si>
    <t>威高广场2026年度推移表</t>
  </si>
  <si>
    <t>1月</t>
  </si>
  <si>
    <t>2月</t>
  </si>
  <si>
    <t>3月</t>
  </si>
  <si>
    <t>4月</t>
  </si>
  <si>
    <t>5月</t>
  </si>
  <si>
    <t>6月</t>
  </si>
  <si>
    <t>7月</t>
  </si>
  <si>
    <t>8月</t>
  </si>
  <si>
    <t>9月</t>
  </si>
  <si>
    <t>10月</t>
  </si>
  <si>
    <t>11月</t>
  </si>
  <si>
    <t>12月</t>
  </si>
  <si>
    <t>2025年度实际</t>
  </si>
  <si>
    <t xml:space="preserve">2026年度预算 </t>
  </si>
  <si>
    <t>2026年度实际累计达成</t>
  </si>
  <si>
    <t>2026年度计划累计达成率 %</t>
  </si>
  <si>
    <t>预实差</t>
  </si>
  <si>
    <t>（实绩达成）
预定比率</t>
  </si>
  <si>
    <t>月度MP比</t>
  </si>
  <si>
    <t>销
售
最
大
化</t>
  </si>
  <si>
    <t>租赁小计</t>
  </si>
  <si>
    <t>总销售金额</t>
  </si>
  <si>
    <t>A=A1+…</t>
  </si>
  <si>
    <t>费
用
最
小
化</t>
  </si>
  <si>
    <t>F9</t>
  </si>
  <si>
    <t>摊销费用（日常摊销）</t>
  </si>
  <si>
    <t>折旧费（固定资产）</t>
  </si>
  <si>
    <t>F=F1+…</t>
  </si>
  <si>
    <t>附加价值</t>
  </si>
  <si>
    <t>结算收益</t>
  </si>
  <si>
    <t>C=A-F</t>
  </si>
  <si>
    <t>效
率
最
大
化</t>
  </si>
  <si>
    <t>M=M1+M2</t>
  </si>
  <si>
    <t>单位时间附加值</t>
  </si>
  <si>
    <t>O=C/M</t>
  </si>
  <si>
    <t>重要关注指标</t>
  </si>
  <si>
    <t>回收总额</t>
  </si>
  <si>
    <t>按盘点数据填写</t>
  </si>
  <si>
    <t>商户销售额（含汽车）</t>
  </si>
  <si>
    <t>掉铺率</t>
  </si>
  <si>
    <t>按系统数据填写</t>
  </si>
  <si>
    <t>表外管理部分（根据企业情况自行选择）</t>
  </si>
  <si>
    <t>工资</t>
  </si>
  <si>
    <t>J1</t>
  </si>
  <si>
    <t>社会保险</t>
  </si>
  <si>
    <t>J2</t>
  </si>
  <si>
    <t>4161818.2</t>
  </si>
  <si>
    <t>公积金</t>
  </si>
  <si>
    <t>J3</t>
  </si>
  <si>
    <t>483292.6</t>
  </si>
  <si>
    <t>小计</t>
  </si>
  <si>
    <t>培训费</t>
  </si>
  <si>
    <t>J4</t>
  </si>
  <si>
    <t>福利费</t>
  </si>
  <si>
    <t>J5</t>
  </si>
  <si>
    <t>劳保费</t>
  </si>
  <si>
    <t>J6</t>
  </si>
  <si>
    <t>全员幸福费用合计</t>
  </si>
  <si>
    <t>薪资+福利</t>
  </si>
  <si>
    <t>J=J1+…</t>
  </si>
  <si>
    <t>商管公司阿米巴核算表科目明细5.0</t>
  </si>
  <si>
    <t>大类</t>
  </si>
  <si>
    <t>定义说明</t>
  </si>
  <si>
    <t>统计时间口径</t>
  </si>
  <si>
    <t>数据来源</t>
  </si>
  <si>
    <t>威高广场收入</t>
  </si>
  <si>
    <t>ABC馆收入</t>
  </si>
  <si>
    <t>已签约商户租金、物业费等收入</t>
  </si>
  <si>
    <t>上月26-本月25日</t>
  </si>
  <si>
    <t>招商中心填写</t>
  </si>
  <si>
    <t>包括：停车场收入、联通抵顶、已开票单位停车费、威高会积分折算等</t>
  </si>
  <si>
    <t>1-31日</t>
  </si>
  <si>
    <t>安环部</t>
  </si>
  <si>
    <t>餐饮部收入</t>
  </si>
  <si>
    <t>销售提成、其他收入</t>
  </si>
  <si>
    <t>开乐影城收入</t>
  </si>
  <si>
    <t>指经营利润（收入-经营费用）</t>
  </si>
  <si>
    <t>写字楼收入</t>
  </si>
  <si>
    <t>指威高大厦、R1、R6、R8,应收物业费</t>
  </si>
  <si>
    <t>商户应交的能源费总额</t>
  </si>
  <si>
    <t>上月21号到本月20号</t>
  </si>
  <si>
    <t>工程部</t>
  </si>
  <si>
    <t>指车展、公区出租收入、广告位收入等</t>
  </si>
  <si>
    <t>推广部</t>
  </si>
  <si>
    <t>希尔顿酒店租金、物业费收入</t>
  </si>
  <si>
    <t>财务部</t>
  </si>
  <si>
    <t>包括收银机服务费、工程特约维修款、商户油烟清洗预收等</t>
  </si>
  <si>
    <t>时光城收入</t>
  </si>
  <si>
    <t>民俗邨收入</t>
  </si>
  <si>
    <t>威高广场公区能源费</t>
  </si>
  <si>
    <t>公司为商户代缴的能源费+损耗费</t>
  </si>
  <si>
    <t>维修费（自修）</t>
  </si>
  <si>
    <t>指为各部门项目的维修工作。含维修物料的费用。</t>
  </si>
  <si>
    <t>工程部出具；物料部分对接综管苗寒春</t>
  </si>
  <si>
    <t>维修费（外包）</t>
  </si>
  <si>
    <t>由外包方负责的维修建设等工作，维修费的计提，按业务结束时结算为准。</t>
  </si>
  <si>
    <t>检测费</t>
  </si>
  <si>
    <t>指当月发生的，对废水，废气，噪音的检测费</t>
  </si>
  <si>
    <t>外包费</t>
  </si>
  <si>
    <t>指负责大理石维护、消杀、保洁、卫生间异味的外包方，年度费用平均分到各月。
幕墙、垃圾清运的外包费用，当月发生，当月计入费用。</t>
  </si>
  <si>
    <t>指工程电梯、消防设备、空调等，当月实际发生的，签定合同后，平均分到各月
，其中油烟清洗，按当月实际发生，挂帐为准。</t>
  </si>
  <si>
    <t>广告制作费</t>
  </si>
  <si>
    <t>按交付的物料签收为准</t>
  </si>
  <si>
    <t>营销推广部，来源部门推广费用申请流程</t>
  </si>
  <si>
    <t>推广活动费</t>
  </si>
  <si>
    <t>以活动申请费用为准</t>
  </si>
  <si>
    <t>营销推广部</t>
  </si>
  <si>
    <t>以当月发生的，发起挂帐或报销流程为准</t>
  </si>
  <si>
    <t>综管部</t>
  </si>
  <si>
    <t>交通费</t>
  </si>
  <si>
    <t>指各类打车租车费用；</t>
  </si>
  <si>
    <t>各部门负责</t>
  </si>
  <si>
    <t>办公费</t>
  </si>
  <si>
    <t>以申请的货品部门签收入帐为准，各项目签收后及时将收货单反馈至戚晓伟处，便于及时入帐。</t>
  </si>
  <si>
    <t>综管部苗寒春汇总并转各部门数据汇总承接人</t>
  </si>
  <si>
    <t>部门固定电话费；部门宽带费</t>
  </si>
  <si>
    <t>年度签定合同后，平均分到各部门、各月。指信息化系统的运维费、开发费等，包括工程弱电、综合信息、餐饮信息运维费等。</t>
  </si>
  <si>
    <t>指：机票费、住宿费、其他差旅费
各部门以实际发起报销审批为准
由综管部代为发起的部门差旅费，以发起报销流程为准，综合苗寒春知会给相关部门经理计入本部门。</t>
  </si>
  <si>
    <t>招待费</t>
  </si>
  <si>
    <t>当月实际发生，以挂帐为准</t>
  </si>
  <si>
    <t>综管部、招商中心、其他部门</t>
  </si>
  <si>
    <t>车辆维修费</t>
  </si>
  <si>
    <t>以部门实际产生，发起报销审批流程为准</t>
  </si>
  <si>
    <t>安环部、工程部等</t>
  </si>
  <si>
    <t>当月为新入驻商户配套的改造建设费</t>
  </si>
  <si>
    <t>威高广场保险费</t>
  </si>
  <si>
    <t>年度签定合同，按月分解到当月的金额。</t>
  </si>
  <si>
    <t>利息</t>
  </si>
  <si>
    <t>月度贷款利息</t>
  </si>
  <si>
    <t>摊销费</t>
  </si>
  <si>
    <t>公共区域投资费等大额费用的摊销</t>
  </si>
  <si>
    <t>折旧费</t>
  </si>
  <si>
    <t>电脑、打印机等固定资产的每月的折旧；</t>
  </si>
  <si>
    <t>正常工时</t>
  </si>
  <si>
    <t>按员工实际出勤天数*标准工时为准。正常班按8小时计算。自愿加班晚走暂时不计。经申请批准的加班算加班工时。请假、带薪休假的时间应当扣除，不计入出勤时间。培训、开会时间都计算在内。</t>
  </si>
  <si>
    <t>加班工时</t>
  </si>
  <si>
    <t>指经领导审批通过的加班工时。安保、工程、消防岗、停车场巡逻岗为主。</t>
  </si>
  <si>
    <t>其他重要科目</t>
  </si>
  <si>
    <t>应收款余额</t>
  </si>
  <si>
    <t>指威高广场商户当月应回收款余额</t>
  </si>
  <si>
    <t>财务部出具数据；运营服务中心填写</t>
  </si>
  <si>
    <t>当月签约额</t>
  </si>
  <si>
    <t>指当月新签商户的年签约额（以交纳保证金，合同审批完成为准）</t>
  </si>
  <si>
    <t>商户销售额</t>
  </si>
  <si>
    <t>指威高广场商户当月销售金额，含新能源汽车业态销售额</t>
  </si>
  <si>
    <t>运营服务中心</t>
  </si>
  <si>
    <t>当月掉铺面积/出租面积</t>
  </si>
  <si>
    <t>栏外科目：
员工幸福</t>
  </si>
  <si>
    <t>当月实际产生额，含绩效工资。</t>
  </si>
  <si>
    <t>综管部BP</t>
  </si>
  <si>
    <t>当月实际产生额</t>
  </si>
  <si>
    <t>各部门实际发生，发起报销流程为准</t>
  </si>
  <si>
    <t>综管部负责公司级；各部门负责部门级</t>
  </si>
  <si>
    <t>工装、公司配备的防护用品等，以当月实际签收入帐为准</t>
  </si>
  <si>
    <t>福利费（指以钱、物等方式发给员工的）；团建费；食堂费用</t>
  </si>
  <si>
    <t xml:space="preserve">格式说明 </t>
  </si>
  <si>
    <t>数字统一用千位符、统一靠左，保留2位小数点。</t>
  </si>
  <si>
    <t>费用科目：费用占比高的（削减费用的空间较大）、管控费用的重点科目尽量往上排，能让现场人员和经营者看到后容易参与改善。</t>
  </si>
  <si>
    <t>处理的废旧物资应放在费用一栏，以负数出现</t>
  </si>
  <si>
    <t>差旅费、培训费、团建费，部门自行申请的费用，除记入本部门的核算表中外，还需要提供给综管部邢毅香进行汇总。</t>
  </si>
  <si>
    <t>编制：阮聪颖</t>
  </si>
  <si>
    <t>复核：</t>
  </si>
  <si>
    <t>审批：</t>
  </si>
  <si>
    <t>会签：</t>
  </si>
  <si>
    <t>日期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</si>
</sst>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 #,##0.00_ ;_ * \-#,##0.00_ ;_ * &quot;-&quot;??_ ;_ @_ "/>
    <numFmt numFmtId="176" formatCode="0.00_ "/>
    <numFmt numFmtId="177" formatCode="#,##0.00_ "/>
    <numFmt numFmtId="178" formatCode="0.00_);[Red]\(0.00\)"/>
    <numFmt numFmtId="179" formatCode="0_ "/>
    <numFmt numFmtId="180" formatCode="_([$€-2]* #,##0.00_);_([$€-2]* \(#,##0.00\);_([$€-2]* &quot;-&quot;??_)"/>
    <numFmt numFmtId="181" formatCode="_ * #,##0_ ;_ * \-#,##0_ ;_ * &quot;-&quot;??_ ;_ @_ "/>
    <numFmt numFmtId="182" formatCode="0.0_ "/>
    <numFmt numFmtId="183" formatCode="0.0%"/>
    <numFmt numFmtId="184" formatCode="0.00_);\(0.00\)"/>
  </numFmts>
  <fonts count="55">
    <font>
      <sz val="11"/>
      <color theme="1"/>
      <name val="宋体"/>
      <charset val="134"/>
      <scheme val="minor"/>
    </font>
    <font>
      <sz val="12"/>
      <name val="宋体"/>
      <charset val="134"/>
    </font>
    <font>
      <b/>
      <sz val="14"/>
      <name val="宋体"/>
      <charset val="134"/>
    </font>
    <font>
      <b/>
      <sz val="12"/>
      <name val="宋体"/>
      <charset val="134"/>
    </font>
    <font>
      <sz val="12"/>
      <color rgb="FF000000"/>
      <name val="宋体"/>
      <charset val="134"/>
    </font>
    <font>
      <sz val="12"/>
      <color theme="1"/>
      <name val="宋体"/>
      <charset val="134"/>
    </font>
    <font>
      <sz val="11"/>
      <color theme="1"/>
      <name val="宋体"/>
      <charset val="134"/>
    </font>
    <font>
      <b/>
      <sz val="16"/>
      <color theme="1"/>
      <name val="宋体"/>
      <charset val="134"/>
    </font>
    <font>
      <b/>
      <sz val="14"/>
      <color theme="1"/>
      <name val="宋体"/>
      <charset val="134"/>
    </font>
    <font>
      <sz val="11"/>
      <name val="宋体"/>
      <charset val="134"/>
    </font>
    <font>
      <b/>
      <sz val="10"/>
      <name val="微软雅黑"/>
      <charset val="134"/>
    </font>
    <font>
      <b/>
      <sz val="11"/>
      <color theme="1"/>
      <name val="宋体"/>
      <charset val="134"/>
    </font>
    <font>
      <b/>
      <sz val="11"/>
      <name val="宋体"/>
      <charset val="134"/>
    </font>
    <font>
      <b/>
      <sz val="11"/>
      <color rgb="FF000000"/>
      <name val="宋体"/>
      <charset val="134"/>
    </font>
    <font>
      <sz val="11"/>
      <color rgb="FF000000"/>
      <name val="宋体"/>
      <charset val="134"/>
    </font>
    <font>
      <b/>
      <sz val="11"/>
      <color theme="0"/>
      <name val="宋体"/>
      <charset val="134"/>
    </font>
    <font>
      <b/>
      <sz val="11"/>
      <color rgb="FF000000"/>
      <name val="黑体"/>
      <charset val="134"/>
    </font>
    <font>
      <sz val="11"/>
      <color rgb="FF000000"/>
      <name val="宋体"/>
      <charset val="134"/>
      <scheme val="minor"/>
    </font>
    <font>
      <b/>
      <sz val="11"/>
      <name val="微软雅黑"/>
      <charset val="134"/>
    </font>
    <font>
      <b/>
      <sz val="10"/>
      <color theme="1"/>
      <name val="微软雅黑"/>
      <charset val="134"/>
    </font>
    <font>
      <b/>
      <sz val="11"/>
      <color theme="1"/>
      <name val="微软雅黑"/>
      <charset val="134"/>
    </font>
    <font>
      <sz val="11"/>
      <color theme="0"/>
      <name val="宋体"/>
      <charset val="134"/>
    </font>
    <font>
      <b/>
      <sz val="11"/>
      <color theme="1"/>
      <name val="宋体"/>
      <charset val="134"/>
      <scheme val="minor"/>
    </font>
    <font>
      <sz val="11"/>
      <name val="微软雅黑"/>
      <charset val="134"/>
    </font>
    <font>
      <b/>
      <sz val="16"/>
      <color rgb="FF000000"/>
      <name val="微软雅黑"/>
      <charset val="134"/>
    </font>
    <font>
      <b/>
      <sz val="11"/>
      <color rgb="FFFF0000"/>
      <name val="宋体"/>
      <charset val="134"/>
    </font>
    <font>
      <sz val="11"/>
      <color theme="1"/>
      <name val="微软雅黑"/>
      <charset val="134"/>
    </font>
    <font>
      <sz val="11"/>
      <color theme="9" tint="0.79995117038483843"/>
      <name val="宋体"/>
      <charset val="134"/>
      <scheme val="minor"/>
    </font>
    <font>
      <sz val="11"/>
      <color rgb="FF000000"/>
      <name val="微软雅黑"/>
      <charset val="134"/>
    </font>
    <font>
      <sz val="10"/>
      <color theme="1"/>
      <name val="微软雅黑"/>
      <charset val="134"/>
    </font>
    <font>
      <sz val="18"/>
      <name val="微软雅黑"/>
      <charset val="134"/>
    </font>
    <font>
      <b/>
      <sz val="18"/>
      <name val="微软雅黑"/>
      <charset val="134"/>
    </font>
    <font>
      <b/>
      <sz val="10"/>
      <color rgb="FF000000"/>
      <name val="微软雅黑"/>
      <charset val="134"/>
    </font>
    <font>
      <b/>
      <sz val="14"/>
      <name val="微软雅黑"/>
      <charset val="134"/>
    </font>
    <font>
      <b/>
      <sz val="11"/>
      <color rgb="FFED0000"/>
      <name val="宋体"/>
      <charset val="134"/>
      <scheme val="minor"/>
    </font>
    <font>
      <sz val="10"/>
      <name val="微软雅黑"/>
      <charset val="134"/>
    </font>
    <font>
      <b/>
      <sz val="12"/>
      <name val="微软雅黑"/>
      <charset val="134"/>
    </font>
    <font>
      <b/>
      <sz val="11"/>
      <name val="宋体"/>
      <charset val="134"/>
      <scheme val="minor"/>
    </font>
    <font>
      <b/>
      <sz val="11"/>
      <color rgb="FF000000"/>
      <name val="微软雅黑"/>
      <charset val="134"/>
    </font>
    <font>
      <sz val="9"/>
      <color theme="1"/>
      <name val="微软雅黑"/>
      <charset val="134"/>
    </font>
    <font>
      <b/>
      <sz val="14"/>
      <color theme="1"/>
      <name val="微软雅黑"/>
      <charset val="134"/>
    </font>
    <font>
      <b/>
      <sz val="9"/>
      <color theme="1"/>
      <name val="微软雅黑"/>
      <charset val="134"/>
    </font>
    <font>
      <b/>
      <sz val="11"/>
      <color theme="9" tint="0.79995117038483843"/>
      <name val="微软雅黑"/>
      <charset val="134"/>
    </font>
    <font>
      <sz val="11"/>
      <name val="黑体"/>
      <charset val="134"/>
    </font>
    <font>
      <b/>
      <sz val="11"/>
      <name val="黑体"/>
      <charset val="134"/>
    </font>
    <font>
      <sz val="11"/>
      <color theme="1"/>
      <name val="黑体"/>
      <charset val="134"/>
    </font>
    <font>
      <b/>
      <sz val="11"/>
      <color theme="1"/>
      <name val="黑体"/>
      <charset val="134"/>
    </font>
    <font>
      <b/>
      <sz val="11"/>
      <color theme="0"/>
      <name val="微软雅黑"/>
      <charset val="134"/>
    </font>
    <font>
      <b/>
      <sz val="10"/>
      <color theme="0"/>
      <name val="微软雅黑"/>
      <charset val="134"/>
    </font>
    <font>
      <sz val="11"/>
      <color theme="1"/>
      <name val="宋体"/>
      <charset val="134"/>
      <scheme val="minor"/>
    </font>
    <font>
      <b/>
      <sz val="10"/>
      <color indexed="8"/>
      <name val="微软雅黑"/>
      <charset val="134"/>
    </font>
    <font>
      <sz val="9"/>
      <name val="宋体"/>
      <charset val="134"/>
    </font>
    <font>
      <b/>
      <sz val="9"/>
      <name val="宋体"/>
      <charset val="134"/>
    </font>
    <font>
      <sz val="9"/>
      <name val="宋体"/>
      <charset val="134"/>
      <scheme val="minor"/>
    </font>
    <font>
      <sz val="9"/>
      <name val="宋体"/>
      <family val="3"/>
      <charset val="134"/>
      <scheme val="minor"/>
    </font>
  </fonts>
  <fills count="17">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4" tint="0.79995117038483843"/>
        <bgColor indexed="64"/>
      </patternFill>
    </fill>
    <fill>
      <patternFill patternType="solid">
        <fgColor theme="4" tint="0.79998168889431442"/>
        <bgColor indexed="64"/>
      </patternFill>
    </fill>
    <fill>
      <patternFill patternType="solid">
        <fgColor rgb="FFDDEBF7"/>
        <bgColor indexed="64"/>
      </patternFill>
    </fill>
    <fill>
      <patternFill patternType="solid">
        <fgColor theme="5" tint="0.79995117038483843"/>
        <bgColor indexed="64"/>
      </patternFill>
    </fill>
    <fill>
      <patternFill patternType="solid">
        <fgColor rgb="FF00B050"/>
        <bgColor indexed="64"/>
      </patternFill>
    </fill>
    <fill>
      <patternFill patternType="solid">
        <fgColor theme="9" tint="0.79995117038483843"/>
        <bgColor indexed="64"/>
      </patternFill>
    </fill>
    <fill>
      <patternFill patternType="solid">
        <fgColor rgb="FFDAE3F3"/>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79992065187536243"/>
        <bgColor indexed="64"/>
      </patternFill>
    </fill>
    <fill>
      <patternFill patternType="solid">
        <fgColor rgb="FFFFC000"/>
        <bgColor indexed="64"/>
      </patternFill>
    </fill>
    <fill>
      <patternFill patternType="solid">
        <fgColor theme="4" tint="0.79989013336588644"/>
        <bgColor indexed="64"/>
      </patternFill>
    </fill>
    <fill>
      <patternFill patternType="solid">
        <fgColor theme="0" tint="-4.9989318521683403E-2"/>
        <bgColor indexed="64"/>
      </patternFill>
    </fill>
  </fills>
  <borders count="57">
    <border>
      <left/>
      <right/>
      <top/>
      <bottom/>
      <diagonal/>
    </border>
    <border>
      <left/>
      <right style="thin">
        <color auto="1"/>
      </right>
      <top/>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indexed="8"/>
      </top>
      <bottom/>
      <diagonal/>
    </border>
    <border>
      <left style="thin">
        <color auto="1"/>
      </left>
      <right style="thin">
        <color indexed="8"/>
      </right>
      <top style="thin">
        <color indexed="8"/>
      </top>
      <bottom/>
      <diagonal/>
    </border>
    <border>
      <left style="thin">
        <color auto="1"/>
      </left>
      <right style="thin">
        <color indexed="8"/>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style="thin">
        <color indexed="8"/>
      </right>
      <top style="thin">
        <color auto="1"/>
      </top>
      <bottom style="thin">
        <color auto="1"/>
      </bottom>
      <diagonal/>
    </border>
    <border>
      <left style="thin">
        <color auto="1"/>
      </left>
      <right/>
      <top/>
      <bottom/>
      <diagonal/>
    </border>
    <border>
      <left style="thin">
        <color auto="1"/>
      </left>
      <right style="thin">
        <color indexed="8"/>
      </right>
      <top style="thin">
        <color auto="1"/>
      </top>
      <bottom/>
      <diagonal/>
    </border>
    <border>
      <left style="thin">
        <color auto="1"/>
      </left>
      <right/>
      <top/>
      <bottom style="thin">
        <color indexed="8"/>
      </bottom>
      <diagonal/>
    </border>
    <border>
      <left/>
      <right style="thin">
        <color auto="1"/>
      </right>
      <top/>
      <bottom style="thin">
        <color indexed="8"/>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right/>
      <top style="medium">
        <color auto="1"/>
      </top>
      <bottom/>
      <diagonal/>
    </border>
    <border>
      <left/>
      <right/>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rgb="FF000000"/>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right style="thin">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diagonal/>
    </border>
    <border>
      <left style="thin">
        <color auto="1"/>
      </left>
      <right/>
      <top/>
      <bottom style="thin">
        <color auto="1"/>
      </bottom>
      <diagonal/>
    </border>
    <border>
      <left/>
      <right/>
      <top style="thin">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auto="1"/>
      </bottom>
      <diagonal/>
    </border>
    <border>
      <left/>
      <right style="thin">
        <color auto="1"/>
      </right>
      <top style="medium">
        <color auto="1"/>
      </top>
      <bottom/>
      <diagonal/>
    </border>
    <border>
      <left style="thin">
        <color auto="1"/>
      </left>
      <right/>
      <top style="medium">
        <color auto="1"/>
      </top>
      <bottom/>
      <diagonal/>
    </border>
  </borders>
  <cellStyleXfs count="10">
    <xf numFmtId="0" fontId="0" fillId="0" borderId="0">
      <alignment vertical="center"/>
    </xf>
    <xf numFmtId="43" fontId="49" fillId="0" borderId="0" applyFont="0" applyFill="0" applyBorder="0" applyAlignment="0" applyProtection="0">
      <alignment vertical="center"/>
    </xf>
    <xf numFmtId="0" fontId="49" fillId="0" borderId="0"/>
    <xf numFmtId="43" fontId="49" fillId="0" borderId="0" applyFont="0" applyFill="0" applyBorder="0" applyAlignment="0" applyProtection="0">
      <alignment vertical="center"/>
    </xf>
    <xf numFmtId="0" fontId="49" fillId="0" borderId="0"/>
    <xf numFmtId="43" fontId="49" fillId="0" borderId="0" applyFont="0" applyFill="0" applyBorder="0" applyAlignment="0" applyProtection="0">
      <alignment vertical="center"/>
    </xf>
    <xf numFmtId="43" fontId="49" fillId="0" borderId="0" applyFont="0" applyFill="0" applyBorder="0" applyAlignment="0" applyProtection="0">
      <alignment vertical="center"/>
    </xf>
    <xf numFmtId="0" fontId="49" fillId="0" borderId="0"/>
    <xf numFmtId="43" fontId="49" fillId="0" borderId="0" applyFont="0" applyFill="0" applyBorder="0" applyAlignment="0" applyProtection="0">
      <alignment vertical="center"/>
    </xf>
    <xf numFmtId="0" fontId="49" fillId="0" borderId="0">
      <alignment vertical="center"/>
    </xf>
  </cellStyleXfs>
  <cellXfs count="780">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3" fillId="0" borderId="2" xfId="0" applyFont="1" applyBorder="1">
      <alignment vertical="center"/>
    </xf>
    <xf numFmtId="0" fontId="3" fillId="0" borderId="3" xfId="0" applyFont="1" applyBorder="1" applyAlignment="1">
      <alignment vertical="center" wrapText="1"/>
    </xf>
    <xf numFmtId="0" fontId="1" fillId="0" borderId="5" xfId="0" applyFont="1" applyBorder="1">
      <alignment vertical="center"/>
    </xf>
    <xf numFmtId="0" fontId="1" fillId="0" borderId="6" xfId="0" applyFont="1" applyBorder="1">
      <alignment vertical="center"/>
    </xf>
    <xf numFmtId="0" fontId="4" fillId="2" borderId="6" xfId="0" applyFont="1" applyFill="1" applyBorder="1" applyAlignment="1">
      <alignment vertical="center" wrapText="1"/>
    </xf>
    <xf numFmtId="0" fontId="1" fillId="0" borderId="6" xfId="0" applyFont="1" applyBorder="1" applyAlignment="1">
      <alignment vertical="center" wrapText="1"/>
    </xf>
    <xf numFmtId="0" fontId="1" fillId="0" borderId="5"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9" xfId="0" applyFont="1" applyBorder="1">
      <alignment vertical="center"/>
    </xf>
    <xf numFmtId="0" fontId="1" fillId="0" borderId="10" xfId="0" applyFont="1" applyBorder="1">
      <alignment vertical="center"/>
    </xf>
    <xf numFmtId="0" fontId="4" fillId="2" borderId="10" xfId="0" applyFont="1" applyFill="1" applyBorder="1">
      <alignment vertical="center"/>
    </xf>
    <xf numFmtId="0" fontId="1" fillId="2" borderId="6" xfId="0" applyFont="1" applyFill="1" applyBorder="1">
      <alignment vertical="center"/>
    </xf>
    <xf numFmtId="0" fontId="1" fillId="2" borderId="10" xfId="0" applyFont="1" applyFill="1" applyBorder="1">
      <alignment vertical="center"/>
    </xf>
    <xf numFmtId="0" fontId="4" fillId="0" borderId="6" xfId="0" applyFont="1" applyBorder="1" applyAlignment="1">
      <alignment vertical="center" wrapText="1"/>
    </xf>
    <xf numFmtId="0" fontId="1" fillId="2" borderId="6" xfId="0" applyFont="1" applyFill="1" applyBorder="1" applyAlignment="1">
      <alignment vertical="center" wrapText="1"/>
    </xf>
    <xf numFmtId="0" fontId="3" fillId="0" borderId="0" xfId="0" applyFont="1">
      <alignment vertical="center"/>
    </xf>
    <xf numFmtId="0" fontId="1" fillId="0" borderId="16" xfId="0" applyFont="1" applyBorder="1" applyAlignment="1">
      <alignmen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18" xfId="0" applyFont="1" applyBorder="1" applyAlignment="1">
      <alignment vertical="center" wrapText="1"/>
    </xf>
    <xf numFmtId="0" fontId="1" fillId="0" borderId="21" xfId="0" applyFont="1" applyBorder="1" applyAlignment="1">
      <alignment vertical="center" wrapText="1"/>
    </xf>
    <xf numFmtId="0" fontId="1" fillId="0" borderId="21" xfId="0" applyFont="1" applyBorder="1">
      <alignment vertical="center"/>
    </xf>
    <xf numFmtId="0" fontId="1" fillId="0" borderId="22" xfId="0" applyFont="1" applyBorder="1" applyAlignment="1">
      <alignment vertical="center" wrapText="1"/>
    </xf>
    <xf numFmtId="0" fontId="1" fillId="0" borderId="2" xfId="0" applyFont="1" applyBorder="1">
      <alignment vertical="center"/>
    </xf>
    <xf numFmtId="0" fontId="1" fillId="0" borderId="3" xfId="0" applyFont="1" applyBorder="1" applyAlignment="1">
      <alignment vertical="center" wrapText="1"/>
    </xf>
    <xf numFmtId="0" fontId="5" fillId="0" borderId="0" xfId="4" applyFont="1" applyAlignment="1">
      <alignment vertical="center"/>
    </xf>
    <xf numFmtId="0" fontId="6" fillId="0" borderId="23" xfId="4" applyFont="1" applyBorder="1" applyAlignment="1">
      <alignment vertical="center"/>
    </xf>
    <xf numFmtId="0" fontId="6" fillId="0" borderId="0" xfId="4" applyFont="1" applyAlignment="1">
      <alignment vertical="center"/>
    </xf>
    <xf numFmtId="0" fontId="6" fillId="0" borderId="24" xfId="4" applyFont="1" applyBorder="1" applyAlignment="1">
      <alignment vertical="center"/>
    </xf>
    <xf numFmtId="0" fontId="6" fillId="0" borderId="25" xfId="4" applyFont="1" applyBorder="1" applyAlignment="1">
      <alignment vertical="center"/>
    </xf>
    <xf numFmtId="0" fontId="6" fillId="3" borderId="24" xfId="4" applyFont="1" applyFill="1" applyBorder="1" applyAlignment="1">
      <alignment vertical="center"/>
    </xf>
    <xf numFmtId="0" fontId="5" fillId="0" borderId="0" xfId="4" applyFont="1" applyAlignment="1">
      <alignment horizontal="left" vertical="center"/>
    </xf>
    <xf numFmtId="43" fontId="5" fillId="0" borderId="0" xfId="5" applyFont="1" applyFill="1" applyAlignment="1">
      <alignment vertical="center"/>
    </xf>
    <xf numFmtId="10" fontId="5" fillId="0" borderId="0" xfId="4" applyNumberFormat="1" applyFont="1" applyAlignment="1">
      <alignment vertical="center"/>
    </xf>
    <xf numFmtId="176" fontId="5" fillId="0" borderId="0" xfId="4" applyNumberFormat="1" applyFont="1" applyAlignment="1">
      <alignment vertical="center"/>
    </xf>
    <xf numFmtId="0" fontId="5" fillId="0" borderId="0" xfId="4" applyFont="1" applyAlignment="1">
      <alignment horizontal="center" vertical="center"/>
    </xf>
    <xf numFmtId="0" fontId="5" fillId="0" borderId="0" xfId="4" applyFont="1" applyAlignment="1">
      <alignment horizontal="right" vertical="center"/>
    </xf>
    <xf numFmtId="0" fontId="5" fillId="0" borderId="10" xfId="4" applyFont="1" applyBorder="1" applyAlignment="1">
      <alignment vertical="center"/>
    </xf>
    <xf numFmtId="0" fontId="5" fillId="0" borderId="10" xfId="4" applyFont="1" applyBorder="1" applyAlignment="1">
      <alignment horizontal="center" vertical="center"/>
    </xf>
    <xf numFmtId="176" fontId="5" fillId="0" borderId="10" xfId="4" applyNumberFormat="1" applyFont="1" applyBorder="1" applyAlignment="1">
      <alignment vertical="center"/>
    </xf>
    <xf numFmtId="10" fontId="5" fillId="0" borderId="10" xfId="4" applyNumberFormat="1" applyFont="1" applyBorder="1" applyAlignment="1">
      <alignment vertical="center"/>
    </xf>
    <xf numFmtId="0" fontId="5" fillId="0" borderId="10" xfId="4" applyFont="1" applyBorder="1" applyAlignment="1">
      <alignment horizontal="right" vertical="center"/>
    </xf>
    <xf numFmtId="0" fontId="5" fillId="0" borderId="6" xfId="4" applyFont="1" applyBorder="1" applyAlignment="1">
      <alignment horizontal="center" vertical="center"/>
    </xf>
    <xf numFmtId="49" fontId="5" fillId="0" borderId="6" xfId="4" applyNumberFormat="1" applyFont="1" applyBorder="1" applyAlignment="1">
      <alignment horizontal="center" vertical="center"/>
    </xf>
    <xf numFmtId="0" fontId="5" fillId="0" borderId="6" xfId="4" applyFont="1" applyBorder="1" applyAlignment="1">
      <alignment horizontal="center" vertical="center" wrapText="1"/>
    </xf>
    <xf numFmtId="43" fontId="5" fillId="0" borderId="6" xfId="5" applyFont="1" applyFill="1" applyBorder="1" applyAlignment="1">
      <alignment horizontal="center" vertical="center" wrapText="1"/>
    </xf>
    <xf numFmtId="10" fontId="5" fillId="0" borderId="6" xfId="4" applyNumberFormat="1" applyFont="1" applyBorder="1" applyAlignment="1">
      <alignment horizontal="center" vertical="center" wrapText="1"/>
    </xf>
    <xf numFmtId="176" fontId="5" fillId="0" borderId="6" xfId="4" applyNumberFormat="1" applyFont="1" applyBorder="1" applyAlignment="1">
      <alignment horizontal="center" vertical="center" wrapText="1"/>
    </xf>
    <xf numFmtId="0" fontId="5" fillId="0" borderId="6" xfId="4" applyFont="1" applyBorder="1" applyAlignment="1">
      <alignment horizontal="right" vertical="center"/>
    </xf>
    <xf numFmtId="0" fontId="5" fillId="0" borderId="6" xfId="4" applyFont="1" applyBorder="1" applyAlignment="1">
      <alignment horizontal="right" vertical="center" wrapText="1"/>
    </xf>
    <xf numFmtId="0" fontId="6" fillId="0" borderId="28" xfId="4" applyFont="1" applyBorder="1" applyAlignment="1">
      <alignment horizontal="left" vertical="center"/>
    </xf>
    <xf numFmtId="49" fontId="6" fillId="0" borderId="28" xfId="4" applyNumberFormat="1" applyFont="1" applyBorder="1" applyAlignment="1">
      <alignment horizontal="center" vertical="center"/>
    </xf>
    <xf numFmtId="43" fontId="9" fillId="0" borderId="6" xfId="7" applyNumberFormat="1" applyFont="1" applyBorder="1" applyAlignment="1">
      <alignment horizontal="center" vertical="center"/>
    </xf>
    <xf numFmtId="43" fontId="10" fillId="0" borderId="6" xfId="0" applyNumberFormat="1" applyFont="1" applyBorder="1" applyAlignment="1">
      <alignment horizontal="center" vertical="center"/>
    </xf>
    <xf numFmtId="10" fontId="10" fillId="0" borderId="6" xfId="0" applyNumberFormat="1" applyFont="1" applyBorder="1" applyAlignment="1">
      <alignment horizontal="center" vertical="center"/>
    </xf>
    <xf numFmtId="10" fontId="11" fillId="0" borderId="28" xfId="4" applyNumberFormat="1" applyFont="1" applyBorder="1" applyAlignment="1">
      <alignment horizontal="center" vertical="center" wrapText="1"/>
    </xf>
    <xf numFmtId="0" fontId="11" fillId="0" borderId="28" xfId="4" applyFont="1" applyBorder="1" applyAlignment="1">
      <alignment horizontal="center" vertical="center" wrapText="1"/>
    </xf>
    <xf numFmtId="0" fontId="11" fillId="0" borderId="28" xfId="4" applyFont="1" applyBorder="1" applyAlignment="1">
      <alignment horizontal="center" vertical="center"/>
    </xf>
    <xf numFmtId="43" fontId="11" fillId="0" borderId="28" xfId="1" applyFont="1" applyBorder="1" applyAlignment="1">
      <alignment horizontal="center" vertical="center"/>
    </xf>
    <xf numFmtId="43" fontId="11" fillId="0" borderId="28" xfId="1" applyFont="1" applyBorder="1" applyAlignment="1">
      <alignment horizontal="center" vertical="center" wrapText="1"/>
    </xf>
    <xf numFmtId="9" fontId="11" fillId="0" borderId="28" xfId="4" applyNumberFormat="1" applyFont="1" applyBorder="1" applyAlignment="1">
      <alignment horizontal="center" vertical="center" wrapText="1"/>
    </xf>
    <xf numFmtId="43" fontId="11" fillId="0" borderId="28" xfId="6" applyFont="1" applyFill="1" applyBorder="1" applyAlignment="1">
      <alignment horizontal="center" vertical="center" wrapText="1"/>
    </xf>
    <xf numFmtId="43" fontId="12" fillId="0" borderId="6" xfId="0" applyNumberFormat="1" applyFont="1" applyBorder="1" applyAlignment="1">
      <alignment horizontal="center" vertical="center"/>
    </xf>
    <xf numFmtId="177" fontId="12" fillId="0" borderId="6" xfId="0" applyNumberFormat="1" applyFont="1" applyBorder="1" applyAlignment="1">
      <alignment horizontal="center" vertical="center"/>
    </xf>
    <xf numFmtId="43" fontId="12" fillId="0" borderId="6" xfId="0" applyNumberFormat="1" applyFont="1" applyBorder="1" applyAlignment="1">
      <alignment horizontal="right" vertical="center"/>
    </xf>
    <xf numFmtId="43" fontId="11" fillId="0" borderId="28" xfId="1" applyFont="1" applyFill="1" applyBorder="1" applyAlignment="1">
      <alignment horizontal="right" vertical="center" wrapText="1"/>
    </xf>
    <xf numFmtId="9" fontId="6" fillId="0" borderId="28" xfId="4" applyNumberFormat="1" applyFont="1" applyBorder="1" applyAlignment="1">
      <alignment horizontal="center" vertical="center" wrapText="1"/>
    </xf>
    <xf numFmtId="43" fontId="6" fillId="0" borderId="28" xfId="6" applyFont="1" applyFill="1" applyBorder="1" applyAlignment="1">
      <alignment horizontal="center" vertical="center" wrapText="1"/>
    </xf>
    <xf numFmtId="43" fontId="6" fillId="0" borderId="28" xfId="1" applyFont="1" applyBorder="1" applyAlignment="1">
      <alignment horizontal="center" vertical="center"/>
    </xf>
    <xf numFmtId="43" fontId="6" fillId="0" borderId="28" xfId="1" applyFont="1" applyBorder="1" applyAlignment="1">
      <alignment horizontal="center" vertical="center" wrapText="1"/>
    </xf>
    <xf numFmtId="0" fontId="6" fillId="0" borderId="6" xfId="4" applyFont="1" applyBorder="1" applyAlignment="1">
      <alignment horizontal="left" vertical="center"/>
    </xf>
    <xf numFmtId="49" fontId="6" fillId="0" borderId="6" xfId="4" applyNumberFormat="1" applyFont="1" applyBorder="1" applyAlignment="1">
      <alignment horizontal="center" vertical="center"/>
    </xf>
    <xf numFmtId="10" fontId="11" fillId="0" borderId="6" xfId="4" applyNumberFormat="1" applyFont="1" applyBorder="1" applyAlignment="1">
      <alignment horizontal="center" vertical="center" wrapText="1"/>
    </xf>
    <xf numFmtId="0" fontId="11" fillId="0" borderId="6" xfId="4" applyFont="1" applyBorder="1" applyAlignment="1">
      <alignment horizontal="center" vertical="center" wrapText="1"/>
    </xf>
    <xf numFmtId="0" fontId="11" fillId="0" borderId="6" xfId="4" applyFont="1" applyBorder="1" applyAlignment="1">
      <alignment horizontal="center" vertical="center"/>
    </xf>
    <xf numFmtId="43" fontId="11" fillId="0" borderId="6" xfId="1" applyFont="1" applyBorder="1" applyAlignment="1">
      <alignment horizontal="center" vertical="center"/>
    </xf>
    <xf numFmtId="43" fontId="11" fillId="0" borderId="6" xfId="1" applyFont="1" applyBorder="1" applyAlignment="1">
      <alignment horizontal="center" vertical="center" wrapText="1"/>
    </xf>
    <xf numFmtId="43" fontId="6" fillId="0" borderId="6" xfId="1" applyFont="1" applyBorder="1" applyAlignment="1">
      <alignment horizontal="center" vertical="center" wrapText="1"/>
    </xf>
    <xf numFmtId="43" fontId="6" fillId="0" borderId="6" xfId="1" applyFont="1" applyBorder="1" applyAlignment="1">
      <alignment horizontal="center" vertical="center"/>
    </xf>
    <xf numFmtId="0" fontId="12" fillId="4" borderId="6" xfId="4" applyFont="1" applyFill="1" applyBorder="1" applyAlignment="1">
      <alignment horizontal="left" vertical="center"/>
    </xf>
    <xf numFmtId="49" fontId="9" fillId="4" borderId="14" xfId="4" applyNumberFormat="1" applyFont="1" applyFill="1" applyBorder="1" applyAlignment="1">
      <alignment horizontal="center" vertical="center"/>
    </xf>
    <xf numFmtId="43" fontId="12" fillId="4" borderId="6" xfId="7" applyNumberFormat="1" applyFont="1" applyFill="1" applyBorder="1" applyAlignment="1">
      <alignment horizontal="center" vertical="center"/>
    </xf>
    <xf numFmtId="43" fontId="10" fillId="4" borderId="6" xfId="0" applyNumberFormat="1" applyFont="1" applyFill="1" applyBorder="1" applyAlignment="1">
      <alignment horizontal="center" vertical="center"/>
    </xf>
    <xf numFmtId="43" fontId="10" fillId="5" borderId="6" xfId="0" applyNumberFormat="1" applyFont="1" applyFill="1" applyBorder="1" applyAlignment="1">
      <alignment horizontal="center" vertical="center"/>
    </xf>
    <xf numFmtId="10" fontId="10" fillId="4" borderId="6" xfId="0" applyNumberFormat="1" applyFont="1" applyFill="1" applyBorder="1" applyAlignment="1">
      <alignment horizontal="center" vertical="center"/>
    </xf>
    <xf numFmtId="10" fontId="11" fillId="5" borderId="28" xfId="4" applyNumberFormat="1" applyFont="1" applyFill="1" applyBorder="1" applyAlignment="1">
      <alignment horizontal="center" vertical="center" wrapText="1"/>
    </xf>
    <xf numFmtId="10" fontId="11" fillId="5" borderId="6" xfId="4" applyNumberFormat="1" applyFont="1" applyFill="1" applyBorder="1" applyAlignment="1">
      <alignment horizontal="center" vertical="center" wrapText="1"/>
    </xf>
    <xf numFmtId="43" fontId="12" fillId="0" borderId="30" xfId="0" applyNumberFormat="1" applyFont="1" applyBorder="1" applyAlignment="1">
      <alignment horizontal="center" vertical="center"/>
    </xf>
    <xf numFmtId="177" fontId="12" fillId="0" borderId="30" xfId="0" applyNumberFormat="1" applyFont="1" applyBorder="1" applyAlignment="1">
      <alignment horizontal="center" vertical="center"/>
    </xf>
    <xf numFmtId="43" fontId="12" fillId="0" borderId="30" xfId="0" applyNumberFormat="1" applyFont="1" applyBorder="1" applyAlignment="1">
      <alignment horizontal="right" vertical="center"/>
    </xf>
    <xf numFmtId="43" fontId="6" fillId="4" borderId="6" xfId="1" applyFont="1" applyFill="1" applyBorder="1" applyAlignment="1">
      <alignment horizontal="center" vertical="center"/>
    </xf>
    <xf numFmtId="43" fontId="6" fillId="4" borderId="6" xfId="1" applyFont="1" applyFill="1" applyBorder="1" applyAlignment="1">
      <alignment horizontal="center" vertical="center" wrapText="1"/>
    </xf>
    <xf numFmtId="9" fontId="6" fillId="4" borderId="28" xfId="4" applyNumberFormat="1" applyFont="1" applyFill="1" applyBorder="1" applyAlignment="1">
      <alignment horizontal="center" vertical="center" wrapText="1"/>
    </xf>
    <xf numFmtId="43" fontId="6" fillId="4" borderId="28" xfId="6" applyFont="1" applyFill="1" applyBorder="1" applyAlignment="1">
      <alignment horizontal="center" vertical="center" wrapText="1"/>
    </xf>
    <xf numFmtId="43" fontId="13" fillId="6" borderId="31" xfId="0" applyNumberFormat="1" applyFont="1" applyFill="1" applyBorder="1" applyAlignment="1">
      <alignment horizontal="right" vertical="center"/>
    </xf>
    <xf numFmtId="43" fontId="6" fillId="7" borderId="28" xfId="1" applyFont="1" applyFill="1" applyBorder="1" applyAlignment="1">
      <alignment horizontal="center" vertical="center"/>
    </xf>
    <xf numFmtId="43" fontId="13" fillId="0" borderId="31" xfId="0" applyNumberFormat="1" applyFont="1" applyBorder="1" applyAlignment="1">
      <alignment horizontal="center" vertical="center"/>
    </xf>
    <xf numFmtId="43" fontId="11" fillId="0" borderId="6" xfId="1" applyFont="1" applyBorder="1" applyAlignment="1">
      <alignment horizontal="right" vertical="center"/>
    </xf>
    <xf numFmtId="43" fontId="11" fillId="0" borderId="6" xfId="1" applyFont="1" applyBorder="1" applyAlignment="1">
      <alignment horizontal="right" vertical="center" wrapText="1"/>
    </xf>
    <xf numFmtId="177" fontId="12" fillId="0" borderId="6" xfId="0" applyNumberFormat="1" applyFont="1" applyBorder="1" applyAlignment="1">
      <alignment horizontal="right" vertical="center"/>
    </xf>
    <xf numFmtId="40" fontId="14" fillId="0" borderId="31" xfId="0" applyNumberFormat="1" applyFont="1" applyBorder="1" applyAlignment="1">
      <alignment horizontal="right" vertical="center"/>
    </xf>
    <xf numFmtId="43" fontId="13" fillId="3" borderId="31" xfId="0" applyNumberFormat="1" applyFont="1" applyFill="1" applyBorder="1" applyAlignment="1">
      <alignment horizontal="right" vertical="center" wrapText="1"/>
    </xf>
    <xf numFmtId="43" fontId="15" fillId="8" borderId="31" xfId="0" applyNumberFormat="1" applyFont="1" applyFill="1" applyBorder="1" applyAlignment="1">
      <alignment horizontal="right" vertical="center" wrapText="1"/>
    </xf>
    <xf numFmtId="43" fontId="16" fillId="3" borderId="31" xfId="0" applyNumberFormat="1" applyFont="1" applyFill="1" applyBorder="1" applyAlignment="1">
      <alignment horizontal="right" vertical="center" wrapText="1"/>
    </xf>
    <xf numFmtId="43" fontId="16" fillId="7" borderId="31" xfId="0" applyNumberFormat="1" applyFont="1" applyFill="1" applyBorder="1" applyAlignment="1">
      <alignment horizontal="right" vertical="center" wrapText="1"/>
    </xf>
    <xf numFmtId="43" fontId="17" fillId="0" borderId="31" xfId="0" applyNumberFormat="1" applyFont="1" applyBorder="1">
      <alignment vertical="center"/>
    </xf>
    <xf numFmtId="43" fontId="17" fillId="3" borderId="31" xfId="0" applyNumberFormat="1" applyFont="1" applyFill="1" applyBorder="1" applyAlignment="1">
      <alignment horizontal="right" vertical="center" wrapText="1"/>
    </xf>
    <xf numFmtId="49" fontId="6" fillId="4" borderId="35" xfId="4" applyNumberFormat="1" applyFont="1" applyFill="1" applyBorder="1" applyAlignment="1">
      <alignment horizontal="left" vertical="center"/>
    </xf>
    <xf numFmtId="43" fontId="6" fillId="4" borderId="36" xfId="4" applyNumberFormat="1" applyFont="1" applyFill="1" applyBorder="1" applyAlignment="1">
      <alignment horizontal="left" vertical="center"/>
    </xf>
    <xf numFmtId="10" fontId="10" fillId="5" borderId="6" xfId="0" applyNumberFormat="1" applyFont="1" applyFill="1" applyBorder="1" applyAlignment="1">
      <alignment horizontal="center" vertical="center"/>
    </xf>
    <xf numFmtId="43" fontId="6" fillId="4" borderId="35" xfId="5" applyFont="1" applyFill="1" applyBorder="1" applyAlignment="1">
      <alignment horizontal="center" vertical="center"/>
    </xf>
    <xf numFmtId="9" fontId="6" fillId="4" borderId="35" xfId="4" applyNumberFormat="1" applyFont="1" applyFill="1" applyBorder="1" applyAlignment="1">
      <alignment horizontal="center" vertical="center"/>
    </xf>
    <xf numFmtId="43" fontId="9" fillId="4" borderId="35" xfId="7" applyNumberFormat="1" applyFont="1" applyFill="1" applyBorder="1" applyAlignment="1">
      <alignment horizontal="center" vertical="center"/>
    </xf>
    <xf numFmtId="10" fontId="6" fillId="4" borderId="28" xfId="4" applyNumberFormat="1" applyFont="1" applyFill="1" applyBorder="1" applyAlignment="1">
      <alignment horizontal="center" vertical="center" wrapText="1"/>
    </xf>
    <xf numFmtId="43" fontId="9" fillId="4" borderId="35" xfId="7" applyNumberFormat="1" applyFont="1" applyFill="1" applyBorder="1" applyAlignment="1">
      <alignment horizontal="right" vertical="center"/>
    </xf>
    <xf numFmtId="43" fontId="9" fillId="9" borderId="35" xfId="7" applyNumberFormat="1" applyFont="1" applyFill="1" applyBorder="1" applyAlignment="1">
      <alignment horizontal="right" vertical="center"/>
    </xf>
    <xf numFmtId="43" fontId="9" fillId="10" borderId="35" xfId="7" applyNumberFormat="1" applyFont="1" applyFill="1" applyBorder="1" applyAlignment="1">
      <alignment horizontal="center" vertical="center"/>
    </xf>
    <xf numFmtId="9" fontId="6" fillId="10" borderId="28" xfId="4" applyNumberFormat="1" applyFont="1" applyFill="1" applyBorder="1" applyAlignment="1">
      <alignment horizontal="center" vertical="center" wrapText="1"/>
    </xf>
    <xf numFmtId="43" fontId="6" fillId="10" borderId="28" xfId="6" applyFont="1" applyFill="1" applyBorder="1" applyAlignment="1">
      <alignment horizontal="center" vertical="center" wrapText="1"/>
    </xf>
    <xf numFmtId="9" fontId="6" fillId="10" borderId="35" xfId="4" applyNumberFormat="1" applyFont="1" applyFill="1" applyBorder="1" applyAlignment="1">
      <alignment horizontal="center" vertical="center"/>
    </xf>
    <xf numFmtId="43" fontId="9" fillId="0" borderId="28" xfId="7" applyNumberFormat="1" applyFont="1" applyBorder="1" applyAlignment="1">
      <alignment horizontal="center" vertical="center"/>
    </xf>
    <xf numFmtId="43" fontId="9" fillId="0" borderId="14" xfId="7" applyNumberFormat="1" applyFont="1" applyBorder="1" applyAlignment="1">
      <alignment horizontal="right" vertical="center"/>
    </xf>
    <xf numFmtId="10" fontId="6" fillId="0" borderId="28" xfId="4" applyNumberFormat="1" applyFont="1" applyBorder="1" applyAlignment="1">
      <alignment horizontal="center" vertical="center"/>
    </xf>
    <xf numFmtId="43" fontId="6" fillId="0" borderId="28" xfId="5" applyFont="1" applyFill="1" applyBorder="1" applyAlignment="1">
      <alignment horizontal="center" vertical="center"/>
    </xf>
    <xf numFmtId="9" fontId="6" fillId="0" borderId="28" xfId="4" applyNumberFormat="1" applyFont="1" applyBorder="1" applyAlignment="1">
      <alignment horizontal="center" vertical="center"/>
    </xf>
    <xf numFmtId="9" fontId="6" fillId="0" borderId="35" xfId="4" applyNumberFormat="1" applyFont="1" applyBorder="1" applyAlignment="1">
      <alignment horizontal="center" vertical="center"/>
    </xf>
    <xf numFmtId="10" fontId="6" fillId="0" borderId="28" xfId="4" applyNumberFormat="1" applyFont="1" applyBorder="1" applyAlignment="1">
      <alignment horizontal="center" vertical="center" wrapText="1"/>
    </xf>
    <xf numFmtId="43" fontId="6" fillId="0" borderId="28" xfId="5" applyFont="1" applyFill="1" applyBorder="1" applyAlignment="1">
      <alignment horizontal="right" vertical="center"/>
    </xf>
    <xf numFmtId="43" fontId="6" fillId="9" borderId="28" xfId="5" applyFont="1" applyFill="1" applyBorder="1" applyAlignment="1">
      <alignment horizontal="right" vertical="center"/>
    </xf>
    <xf numFmtId="43" fontId="9" fillId="0" borderId="6" xfId="7" applyNumberFormat="1" applyFont="1" applyBorder="1" applyAlignment="1">
      <alignment horizontal="right" vertical="center"/>
    </xf>
    <xf numFmtId="10" fontId="6" fillId="0" borderId="6" xfId="4" applyNumberFormat="1" applyFont="1" applyBorder="1" applyAlignment="1">
      <alignment horizontal="center" vertical="center"/>
    </xf>
    <xf numFmtId="43" fontId="6" fillId="0" borderId="6" xfId="5" applyFont="1" applyFill="1" applyBorder="1" applyAlignment="1">
      <alignment horizontal="center" vertical="center"/>
    </xf>
    <xf numFmtId="9" fontId="6" fillId="0" borderId="6" xfId="4" applyNumberFormat="1" applyFont="1" applyBorder="1" applyAlignment="1">
      <alignment horizontal="center" vertical="center"/>
    </xf>
    <xf numFmtId="43" fontId="18" fillId="0" borderId="6" xfId="0" applyNumberFormat="1" applyFont="1" applyBorder="1" applyAlignment="1">
      <alignment horizontal="center" vertical="center"/>
    </xf>
    <xf numFmtId="177" fontId="18" fillId="0" borderId="6" xfId="0" applyNumberFormat="1" applyFont="1" applyBorder="1" applyAlignment="1">
      <alignment horizontal="center" vertical="center"/>
    </xf>
    <xf numFmtId="43" fontId="9" fillId="0" borderId="6" xfId="0" applyNumberFormat="1" applyFont="1" applyBorder="1" applyAlignment="1">
      <alignment horizontal="right" vertical="center"/>
    </xf>
    <xf numFmtId="43" fontId="6" fillId="7" borderId="28" xfId="5" applyFont="1" applyFill="1" applyBorder="1" applyAlignment="1">
      <alignment horizontal="center" vertical="center"/>
    </xf>
    <xf numFmtId="43" fontId="10" fillId="0" borderId="4" xfId="0" applyNumberFormat="1" applyFont="1" applyBorder="1" applyAlignment="1">
      <alignment horizontal="center" vertical="center"/>
    </xf>
    <xf numFmtId="177" fontId="9" fillId="0" borderId="6" xfId="0" applyNumberFormat="1" applyFont="1" applyBorder="1" applyAlignment="1">
      <alignment horizontal="right" vertical="center"/>
    </xf>
    <xf numFmtId="10" fontId="10" fillId="0" borderId="26" xfId="0" applyNumberFormat="1" applyFont="1" applyBorder="1" applyAlignment="1">
      <alignment horizontal="center" vertical="center"/>
    </xf>
    <xf numFmtId="0" fontId="19" fillId="0" borderId="31" xfId="0" applyFont="1" applyBorder="1">
      <alignment vertical="center"/>
    </xf>
    <xf numFmtId="0" fontId="19" fillId="0" borderId="0" xfId="0" applyFont="1">
      <alignment vertical="center"/>
    </xf>
    <xf numFmtId="43" fontId="10" fillId="0" borderId="14" xfId="0" applyNumberFormat="1" applyFont="1" applyBorder="1" applyAlignment="1">
      <alignment horizontal="center" vertical="center"/>
    </xf>
    <xf numFmtId="0" fontId="14" fillId="0" borderId="6" xfId="4" applyFont="1" applyBorder="1" applyAlignment="1">
      <alignment horizontal="left" vertical="center"/>
    </xf>
    <xf numFmtId="43" fontId="18" fillId="9" borderId="6" xfId="0" applyNumberFormat="1" applyFont="1" applyFill="1" applyBorder="1" applyAlignment="1">
      <alignment horizontal="center" vertical="center"/>
    </xf>
    <xf numFmtId="177" fontId="18" fillId="9" borderId="6" xfId="0" applyNumberFormat="1" applyFont="1" applyFill="1" applyBorder="1" applyAlignment="1">
      <alignment horizontal="center" vertical="center"/>
    </xf>
    <xf numFmtId="0" fontId="14" fillId="0" borderId="4" xfId="4" applyFont="1" applyBorder="1" applyAlignment="1">
      <alignment horizontal="left" vertical="center"/>
    </xf>
    <xf numFmtId="43" fontId="9" fillId="0" borderId="4" xfId="7" applyNumberFormat="1" applyFont="1" applyBorder="1" applyAlignment="1">
      <alignment horizontal="center" vertical="center"/>
    </xf>
    <xf numFmtId="43" fontId="9" fillId="0" borderId="4" xfId="7" applyNumberFormat="1" applyFont="1" applyBorder="1" applyAlignment="1">
      <alignment horizontal="right" vertical="center"/>
    </xf>
    <xf numFmtId="10" fontId="6" fillId="0" borderId="4" xfId="4" applyNumberFormat="1" applyFont="1" applyBorder="1" applyAlignment="1">
      <alignment horizontal="center" vertical="center"/>
    </xf>
    <xf numFmtId="43" fontId="6" fillId="0" borderId="4" xfId="5" applyFont="1" applyFill="1" applyBorder="1" applyAlignment="1">
      <alignment horizontal="center" vertical="center"/>
    </xf>
    <xf numFmtId="9" fontId="6" fillId="0" borderId="4" xfId="4" applyNumberFormat="1" applyFont="1" applyBorder="1" applyAlignment="1">
      <alignment horizontal="center" vertical="center"/>
    </xf>
    <xf numFmtId="43" fontId="6" fillId="0" borderId="7" xfId="5" applyFont="1" applyFill="1" applyBorder="1" applyAlignment="1">
      <alignment horizontal="center" vertical="center"/>
    </xf>
    <xf numFmtId="177" fontId="18" fillId="0" borderId="4" xfId="0" applyNumberFormat="1" applyFont="1" applyBorder="1" applyAlignment="1">
      <alignment horizontal="center" vertical="center"/>
    </xf>
    <xf numFmtId="43" fontId="18" fillId="9" borderId="4" xfId="0" applyNumberFormat="1" applyFont="1" applyFill="1" applyBorder="1" applyAlignment="1">
      <alignment horizontal="center" vertical="center"/>
    </xf>
    <xf numFmtId="177" fontId="18" fillId="9" borderId="4" xfId="0" applyNumberFormat="1" applyFont="1" applyFill="1" applyBorder="1" applyAlignment="1">
      <alignment horizontal="center" vertical="center"/>
    </xf>
    <xf numFmtId="43" fontId="9" fillId="0" borderId="4" xfId="0" applyNumberFormat="1" applyFont="1" applyBorder="1" applyAlignment="1">
      <alignment horizontal="right" vertical="center"/>
    </xf>
    <xf numFmtId="43" fontId="6" fillId="0" borderId="7" xfId="5" applyFont="1" applyFill="1" applyBorder="1" applyAlignment="1">
      <alignment horizontal="right" vertical="center"/>
    </xf>
    <xf numFmtId="0" fontId="11" fillId="4" borderId="6" xfId="4" applyFont="1" applyFill="1" applyBorder="1" applyAlignment="1">
      <alignment horizontal="center" vertical="center" wrapText="1"/>
    </xf>
    <xf numFmtId="0" fontId="11" fillId="4" borderId="6" xfId="4" applyFont="1" applyFill="1" applyBorder="1" applyAlignment="1">
      <alignment horizontal="left" vertical="center"/>
    </xf>
    <xf numFmtId="49" fontId="6" fillId="4" borderId="6" xfId="4" applyNumberFormat="1" applyFont="1" applyFill="1" applyBorder="1" applyAlignment="1">
      <alignment horizontal="left" vertical="center"/>
    </xf>
    <xf numFmtId="43" fontId="6" fillId="4" borderId="6" xfId="4" applyNumberFormat="1" applyFont="1" applyFill="1" applyBorder="1" applyAlignment="1">
      <alignment horizontal="right" vertical="center"/>
    </xf>
    <xf numFmtId="10" fontId="6" fillId="4" borderId="35" xfId="4" applyNumberFormat="1" applyFont="1" applyFill="1" applyBorder="1" applyAlignment="1">
      <alignment horizontal="center" vertical="center"/>
    </xf>
    <xf numFmtId="10" fontId="6" fillId="5" borderId="35" xfId="4" applyNumberFormat="1" applyFont="1" applyFill="1" applyBorder="1" applyAlignment="1">
      <alignment horizontal="center" vertical="center"/>
    </xf>
    <xf numFmtId="43" fontId="6" fillId="0" borderId="35" xfId="5" applyFont="1" applyFill="1" applyBorder="1" applyAlignment="1">
      <alignment horizontal="center" vertical="center"/>
    </xf>
    <xf numFmtId="43" fontId="9" fillId="0" borderId="35" xfId="7" applyNumberFormat="1" applyFont="1" applyBorder="1" applyAlignment="1">
      <alignment horizontal="center" vertical="center"/>
    </xf>
    <xf numFmtId="43" fontId="9" fillId="0" borderId="35" xfId="7" applyNumberFormat="1" applyFont="1" applyBorder="1" applyAlignment="1">
      <alignment horizontal="right" vertical="center"/>
    </xf>
    <xf numFmtId="0" fontId="11" fillId="4" borderId="37" xfId="4" applyFont="1" applyFill="1" applyBorder="1" applyAlignment="1">
      <alignment horizontal="center" vertical="center" wrapText="1"/>
    </xf>
    <xf numFmtId="0" fontId="11" fillId="4" borderId="38" xfId="4" applyFont="1" applyFill="1" applyBorder="1" applyAlignment="1">
      <alignment horizontal="left" vertical="center" wrapText="1"/>
    </xf>
    <xf numFmtId="49" fontId="6" fillId="4" borderId="38" xfId="8" applyNumberFormat="1" applyFont="1" applyFill="1" applyBorder="1" applyAlignment="1">
      <alignment horizontal="left" vertical="center" wrapText="1"/>
    </xf>
    <xf numFmtId="49" fontId="6" fillId="4" borderId="6" xfId="8" applyNumberFormat="1" applyFont="1" applyFill="1" applyBorder="1" applyAlignment="1">
      <alignment horizontal="left" vertical="center" wrapText="1"/>
    </xf>
    <xf numFmtId="10" fontId="6" fillId="4" borderId="39" xfId="4" applyNumberFormat="1" applyFont="1" applyFill="1" applyBorder="1" applyAlignment="1">
      <alignment horizontal="center" vertical="center"/>
    </xf>
    <xf numFmtId="43" fontId="6" fillId="4" borderId="39" xfId="5" applyFont="1" applyFill="1" applyBorder="1" applyAlignment="1">
      <alignment horizontal="center" vertical="center" wrapText="1"/>
    </xf>
    <xf numFmtId="43" fontId="6" fillId="4" borderId="39" xfId="5" applyFont="1" applyFill="1" applyBorder="1" applyAlignment="1">
      <alignment horizontal="center" vertical="center"/>
    </xf>
    <xf numFmtId="9" fontId="6" fillId="4" borderId="39" xfId="4" applyNumberFormat="1" applyFont="1" applyFill="1" applyBorder="1" applyAlignment="1">
      <alignment horizontal="center" vertical="center" wrapText="1"/>
    </xf>
    <xf numFmtId="9" fontId="6" fillId="4" borderId="39" xfId="4" applyNumberFormat="1" applyFont="1" applyFill="1" applyBorder="1" applyAlignment="1">
      <alignment horizontal="center" vertical="center"/>
    </xf>
    <xf numFmtId="10" fontId="9" fillId="4" borderId="28" xfId="4" applyNumberFormat="1" applyFont="1" applyFill="1" applyBorder="1" applyAlignment="1">
      <alignment horizontal="center" vertical="center" wrapText="1"/>
    </xf>
    <xf numFmtId="43" fontId="6" fillId="4" borderId="39" xfId="5" applyFont="1" applyFill="1" applyBorder="1" applyAlignment="1">
      <alignment horizontal="right" vertical="center" wrapText="1"/>
    </xf>
    <xf numFmtId="10" fontId="9" fillId="0" borderId="28" xfId="4" applyNumberFormat="1" applyFont="1" applyBorder="1" applyAlignment="1">
      <alignment horizontal="center" vertical="center" wrapText="1"/>
    </xf>
    <xf numFmtId="9" fontId="6" fillId="0" borderId="39" xfId="4" applyNumberFormat="1" applyFont="1" applyBorder="1" applyAlignment="1">
      <alignment horizontal="center" vertical="center" wrapText="1"/>
    </xf>
    <xf numFmtId="0" fontId="9" fillId="0" borderId="28" xfId="4" applyFont="1" applyBorder="1" applyAlignment="1">
      <alignment horizontal="left" vertical="center" wrapText="1"/>
    </xf>
    <xf numFmtId="49" fontId="9" fillId="0" borderId="28" xfId="8" applyNumberFormat="1" applyFont="1" applyFill="1" applyBorder="1" applyAlignment="1">
      <alignment horizontal="left" vertical="center" wrapText="1"/>
    </xf>
    <xf numFmtId="49" fontId="9" fillId="0" borderId="14" xfId="8" applyNumberFormat="1" applyFont="1" applyFill="1" applyBorder="1" applyAlignment="1">
      <alignment horizontal="left" vertical="center" wrapText="1"/>
    </xf>
    <xf numFmtId="9" fontId="9" fillId="0" borderId="28" xfId="4" applyNumberFormat="1" applyFont="1" applyBorder="1" applyAlignment="1">
      <alignment horizontal="center" vertical="center" wrapText="1"/>
    </xf>
    <xf numFmtId="43" fontId="9" fillId="0" borderId="28" xfId="5" applyFont="1" applyFill="1" applyBorder="1" applyAlignment="1">
      <alignment horizontal="center" vertical="center" wrapText="1"/>
    </xf>
    <xf numFmtId="43" fontId="9" fillId="0" borderId="28" xfId="5" applyFont="1" applyFill="1" applyBorder="1" applyAlignment="1">
      <alignment horizontal="right" vertical="center" wrapText="1"/>
    </xf>
    <xf numFmtId="0" fontId="9" fillId="0" borderId="6" xfId="4" applyFont="1" applyBorder="1" applyAlignment="1">
      <alignment horizontal="left" vertical="center" wrapText="1"/>
    </xf>
    <xf numFmtId="49" fontId="9" fillId="0" borderId="6" xfId="4" applyNumberFormat="1" applyFont="1" applyBorder="1" applyAlignment="1">
      <alignment horizontal="left" vertical="center" wrapText="1"/>
    </xf>
    <xf numFmtId="10" fontId="9" fillId="0" borderId="6" xfId="4" applyNumberFormat="1" applyFont="1" applyBorder="1" applyAlignment="1">
      <alignment horizontal="center" vertical="center" wrapText="1"/>
    </xf>
    <xf numFmtId="9" fontId="9" fillId="0" borderId="6" xfId="4" applyNumberFormat="1" applyFont="1" applyBorder="1" applyAlignment="1">
      <alignment horizontal="center" vertical="center" wrapText="1"/>
    </xf>
    <xf numFmtId="43" fontId="9" fillId="0" borderId="6" xfId="5" applyFont="1" applyFill="1" applyBorder="1" applyAlignment="1">
      <alignment horizontal="center" vertical="center" wrapText="1"/>
    </xf>
    <xf numFmtId="10" fontId="6" fillId="0" borderId="6" xfId="4" applyNumberFormat="1" applyFont="1" applyBorder="1" applyAlignment="1">
      <alignment horizontal="center" vertical="center" wrapText="1"/>
    </xf>
    <xf numFmtId="43" fontId="9" fillId="0" borderId="6" xfId="5" applyFont="1" applyFill="1" applyBorder="1" applyAlignment="1">
      <alignment horizontal="right" vertical="center" wrapText="1"/>
    </xf>
    <xf numFmtId="176" fontId="9" fillId="0" borderId="6" xfId="4" applyNumberFormat="1" applyFont="1" applyBorder="1" applyAlignment="1">
      <alignment horizontal="right" vertical="center" wrapText="1"/>
    </xf>
    <xf numFmtId="176" fontId="6" fillId="0" borderId="6" xfId="5" applyNumberFormat="1" applyFont="1" applyFill="1" applyBorder="1" applyAlignment="1">
      <alignment horizontal="center" vertical="center"/>
    </xf>
    <xf numFmtId="0" fontId="9" fillId="0" borderId="35" xfId="4" applyFont="1" applyBorder="1" applyAlignment="1">
      <alignment horizontal="left" vertical="center" wrapText="1"/>
    </xf>
    <xf numFmtId="49" fontId="9" fillId="0" borderId="35" xfId="4" applyNumberFormat="1" applyFont="1" applyBorder="1" applyAlignment="1">
      <alignment horizontal="left" vertical="center" wrapText="1"/>
    </xf>
    <xf numFmtId="176" fontId="9" fillId="0" borderId="4" xfId="4" applyNumberFormat="1" applyFont="1" applyBorder="1" applyAlignment="1">
      <alignment horizontal="right" vertical="center" wrapText="1"/>
    </xf>
    <xf numFmtId="10" fontId="9" fillId="0" borderId="35" xfId="4" applyNumberFormat="1" applyFont="1" applyBorder="1" applyAlignment="1">
      <alignment horizontal="center" vertical="center" wrapText="1"/>
    </xf>
    <xf numFmtId="176" fontId="6" fillId="0" borderId="35" xfId="5" applyNumberFormat="1" applyFont="1" applyFill="1" applyBorder="1" applyAlignment="1">
      <alignment horizontal="center" vertical="center"/>
    </xf>
    <xf numFmtId="9" fontId="9" fillId="0" borderId="35" xfId="4" applyNumberFormat="1" applyFont="1" applyBorder="1" applyAlignment="1">
      <alignment horizontal="center" vertical="center" wrapText="1"/>
    </xf>
    <xf numFmtId="10" fontId="6" fillId="0" borderId="35" xfId="4" applyNumberFormat="1" applyFont="1" applyBorder="1" applyAlignment="1">
      <alignment horizontal="center" vertical="center"/>
    </xf>
    <xf numFmtId="43" fontId="9" fillId="0" borderId="35" xfId="5" applyFont="1" applyFill="1" applyBorder="1" applyAlignment="1">
      <alignment horizontal="center" vertical="center" wrapText="1"/>
    </xf>
    <xf numFmtId="10" fontId="6" fillId="0" borderId="35" xfId="4" applyNumberFormat="1" applyFont="1" applyBorder="1" applyAlignment="1">
      <alignment horizontal="center" vertical="center" wrapText="1"/>
    </xf>
    <xf numFmtId="43" fontId="9" fillId="0" borderId="35" xfId="5" applyFont="1" applyFill="1" applyBorder="1" applyAlignment="1">
      <alignment horizontal="right" vertical="center" wrapText="1"/>
    </xf>
    <xf numFmtId="0" fontId="6" fillId="4" borderId="43" xfId="4" applyFont="1" applyFill="1" applyBorder="1" applyAlignment="1">
      <alignment horizontal="left" vertical="center" wrapText="1"/>
    </xf>
    <xf numFmtId="0" fontId="6" fillId="4" borderId="39" xfId="4" applyFont="1" applyFill="1" applyBorder="1" applyAlignment="1">
      <alignment horizontal="left" vertical="center" wrapText="1"/>
    </xf>
    <xf numFmtId="49" fontId="6" fillId="4" borderId="39" xfId="8" applyNumberFormat="1" applyFont="1" applyFill="1" applyBorder="1" applyAlignment="1">
      <alignment horizontal="left" vertical="center" wrapText="1"/>
    </xf>
    <xf numFmtId="178" fontId="20" fillId="4" borderId="39" xfId="5" applyNumberFormat="1" applyFont="1" applyFill="1" applyBorder="1" applyAlignment="1">
      <alignment horizontal="center" vertical="center" wrapText="1"/>
    </xf>
    <xf numFmtId="10" fontId="6" fillId="4" borderId="39" xfId="4" applyNumberFormat="1" applyFont="1" applyFill="1" applyBorder="1" applyAlignment="1">
      <alignment horizontal="center" vertical="center" wrapText="1"/>
    </xf>
    <xf numFmtId="176" fontId="20" fillId="4" borderId="39" xfId="5" applyNumberFormat="1" applyFont="1" applyFill="1" applyBorder="1" applyAlignment="1">
      <alignment horizontal="center" vertical="center"/>
    </xf>
    <xf numFmtId="178" fontId="6" fillId="4" borderId="39" xfId="4" applyNumberFormat="1" applyFont="1" applyFill="1" applyBorder="1" applyAlignment="1">
      <alignment horizontal="center" vertical="center"/>
    </xf>
    <xf numFmtId="178" fontId="6" fillId="4" borderId="39" xfId="5" applyNumberFormat="1" applyFont="1" applyFill="1" applyBorder="1" applyAlignment="1">
      <alignment horizontal="center" vertical="center" wrapText="1"/>
    </xf>
    <xf numFmtId="178" fontId="6" fillId="4" borderId="39" xfId="4" applyNumberFormat="1" applyFont="1" applyFill="1" applyBorder="1" applyAlignment="1">
      <alignment horizontal="center" vertical="center" wrapText="1"/>
    </xf>
    <xf numFmtId="178" fontId="6" fillId="4" borderId="39" xfId="5" applyNumberFormat="1" applyFont="1" applyFill="1" applyBorder="1" applyAlignment="1">
      <alignment horizontal="center" vertical="center"/>
    </xf>
    <xf numFmtId="178" fontId="6" fillId="4" borderId="39" xfId="8" applyNumberFormat="1" applyFont="1" applyFill="1" applyBorder="1" applyAlignment="1">
      <alignment horizontal="center" vertical="center" wrapText="1"/>
    </xf>
    <xf numFmtId="178" fontId="6" fillId="4" borderId="28" xfId="6" applyNumberFormat="1" applyFont="1" applyFill="1" applyBorder="1" applyAlignment="1">
      <alignment horizontal="center" vertical="center" wrapText="1"/>
    </xf>
    <xf numFmtId="178" fontId="6" fillId="4" borderId="39" xfId="8" applyNumberFormat="1" applyFont="1" applyFill="1" applyBorder="1" applyAlignment="1">
      <alignment horizontal="right" vertical="center" wrapText="1"/>
    </xf>
    <xf numFmtId="178" fontId="6" fillId="0" borderId="39" xfId="8" applyNumberFormat="1" applyFont="1" applyFill="1" applyBorder="1" applyAlignment="1">
      <alignment horizontal="center" vertical="center" wrapText="1"/>
    </xf>
    <xf numFmtId="178" fontId="6" fillId="0" borderId="39" xfId="4" applyNumberFormat="1" applyFont="1" applyBorder="1" applyAlignment="1">
      <alignment horizontal="center" vertical="center" wrapText="1"/>
    </xf>
    <xf numFmtId="178" fontId="6" fillId="0" borderId="28" xfId="6" applyNumberFormat="1" applyFont="1" applyFill="1" applyBorder="1" applyAlignment="1">
      <alignment horizontal="center" vertical="center" wrapText="1"/>
    </xf>
    <xf numFmtId="9" fontId="6" fillId="0" borderId="39" xfId="4" applyNumberFormat="1" applyFont="1" applyBorder="1" applyAlignment="1">
      <alignment horizontal="center" vertical="center"/>
    </xf>
    <xf numFmtId="0" fontId="6" fillId="0" borderId="28" xfId="4" applyFont="1" applyBorder="1" applyAlignment="1">
      <alignment horizontal="left" vertical="center" wrapText="1"/>
    </xf>
    <xf numFmtId="49" fontId="6" fillId="0" borderId="28" xfId="4" applyNumberFormat="1" applyFont="1" applyBorder="1" applyAlignment="1">
      <alignment horizontal="left" vertical="center" wrapText="1"/>
    </xf>
    <xf numFmtId="49" fontId="6" fillId="0" borderId="14" xfId="4" applyNumberFormat="1" applyFont="1" applyBorder="1" applyAlignment="1">
      <alignment horizontal="left" vertical="center" wrapText="1"/>
    </xf>
    <xf numFmtId="176" fontId="6" fillId="0" borderId="28" xfId="5" applyNumberFormat="1" applyFont="1" applyFill="1" applyBorder="1" applyAlignment="1">
      <alignment horizontal="center" vertical="center"/>
    </xf>
    <xf numFmtId="43" fontId="6" fillId="0" borderId="28" xfId="5" applyFont="1" applyFill="1" applyBorder="1" applyAlignment="1">
      <alignment horizontal="center" vertical="center" wrapText="1"/>
    </xf>
    <xf numFmtId="43" fontId="6" fillId="0" borderId="28" xfId="5" applyFont="1" applyFill="1" applyBorder="1" applyAlignment="1">
      <alignment horizontal="right" vertical="center" wrapText="1"/>
    </xf>
    <xf numFmtId="0" fontId="6" fillId="3" borderId="35" xfId="4" applyFont="1" applyFill="1" applyBorder="1" applyAlignment="1">
      <alignment horizontal="left" vertical="center" wrapText="1"/>
    </xf>
    <xf numFmtId="49" fontId="6" fillId="3" borderId="35" xfId="4" applyNumberFormat="1" applyFont="1" applyFill="1" applyBorder="1" applyAlignment="1">
      <alignment horizontal="left" vertical="center" wrapText="1"/>
    </xf>
    <xf numFmtId="49" fontId="6" fillId="3" borderId="6" xfId="4" applyNumberFormat="1" applyFont="1" applyFill="1" applyBorder="1" applyAlignment="1">
      <alignment horizontal="left" vertical="center" wrapText="1"/>
    </xf>
    <xf numFmtId="10" fontId="6" fillId="3" borderId="35" xfId="4" applyNumberFormat="1" applyFont="1" applyFill="1" applyBorder="1" applyAlignment="1">
      <alignment horizontal="center" vertical="center" wrapText="1"/>
    </xf>
    <xf numFmtId="10" fontId="6" fillId="3" borderId="35" xfId="4" applyNumberFormat="1" applyFont="1" applyFill="1" applyBorder="1" applyAlignment="1">
      <alignment horizontal="center" vertical="center"/>
    </xf>
    <xf numFmtId="43" fontId="17" fillId="3" borderId="5" xfId="0" applyNumberFormat="1" applyFont="1" applyFill="1" applyBorder="1" applyAlignment="1">
      <alignment horizontal="center" vertical="center"/>
    </xf>
    <xf numFmtId="43" fontId="6" fillId="3" borderId="35" xfId="5" applyFont="1" applyFill="1" applyBorder="1" applyAlignment="1">
      <alignment horizontal="center" vertical="center"/>
    </xf>
    <xf numFmtId="9" fontId="6" fillId="3" borderId="35" xfId="4" applyNumberFormat="1" applyFont="1" applyFill="1" applyBorder="1" applyAlignment="1">
      <alignment horizontal="center" vertical="center"/>
    </xf>
    <xf numFmtId="43" fontId="17" fillId="3" borderId="6" xfId="0" applyNumberFormat="1" applyFont="1" applyFill="1" applyBorder="1" applyAlignment="1">
      <alignment horizontal="center" vertical="center"/>
    </xf>
    <xf numFmtId="43" fontId="6" fillId="3" borderId="28" xfId="6" applyFont="1" applyFill="1" applyBorder="1" applyAlignment="1">
      <alignment horizontal="center" vertical="center" wrapText="1"/>
    </xf>
    <xf numFmtId="9" fontId="6" fillId="3" borderId="28" xfId="4" applyNumberFormat="1" applyFont="1" applyFill="1" applyBorder="1" applyAlignment="1">
      <alignment horizontal="center" vertical="center" wrapText="1"/>
    </xf>
    <xf numFmtId="3" fontId="6" fillId="3" borderId="35" xfId="8" applyNumberFormat="1" applyFont="1" applyFill="1" applyBorder="1" applyAlignment="1">
      <alignment horizontal="right" vertical="center" wrapText="1"/>
    </xf>
    <xf numFmtId="10" fontId="6" fillId="3" borderId="28" xfId="4" applyNumberFormat="1" applyFont="1" applyFill="1" applyBorder="1" applyAlignment="1">
      <alignment horizontal="center" vertical="center" wrapText="1"/>
    </xf>
    <xf numFmtId="3" fontId="6" fillId="3" borderId="35" xfId="8" applyNumberFormat="1" applyFont="1" applyFill="1" applyBorder="1" applyAlignment="1">
      <alignment horizontal="center" vertical="center" wrapText="1"/>
    </xf>
    <xf numFmtId="0" fontId="6" fillId="3" borderId="35" xfId="8" applyNumberFormat="1" applyFont="1" applyFill="1" applyBorder="1" applyAlignment="1">
      <alignment horizontal="center" vertical="center" wrapText="1"/>
    </xf>
    <xf numFmtId="38" fontId="17" fillId="3" borderId="6" xfId="0" applyNumberFormat="1" applyFont="1" applyFill="1" applyBorder="1" applyAlignment="1">
      <alignment horizontal="center" vertical="center"/>
    </xf>
    <xf numFmtId="0" fontId="14" fillId="3" borderId="38" xfId="4" applyFont="1" applyFill="1" applyBorder="1" applyAlignment="1">
      <alignment horizontal="left" vertical="center" wrapText="1"/>
    </xf>
    <xf numFmtId="49" fontId="6" fillId="3" borderId="28" xfId="4" applyNumberFormat="1" applyFont="1" applyFill="1" applyBorder="1" applyAlignment="1">
      <alignment horizontal="left" vertical="center" wrapText="1"/>
    </xf>
    <xf numFmtId="49" fontId="6" fillId="3" borderId="14" xfId="4" applyNumberFormat="1" applyFont="1" applyFill="1" applyBorder="1" applyAlignment="1">
      <alignment horizontal="left" vertical="center" wrapText="1"/>
    </xf>
    <xf numFmtId="0" fontId="6" fillId="0" borderId="38" xfId="4" applyFont="1" applyBorder="1" applyAlignment="1">
      <alignment horizontal="left" vertical="center" wrapText="1"/>
    </xf>
    <xf numFmtId="49" fontId="6" fillId="0" borderId="38" xfId="4" applyNumberFormat="1" applyFont="1" applyBorder="1" applyAlignment="1">
      <alignment horizontal="left" vertical="center" wrapText="1"/>
    </xf>
    <xf numFmtId="177" fontId="6" fillId="0" borderId="38" xfId="8" applyNumberFormat="1" applyFont="1" applyFill="1" applyBorder="1" applyAlignment="1">
      <alignment horizontal="center" vertical="center" wrapText="1"/>
    </xf>
    <xf numFmtId="10" fontId="6" fillId="0" borderId="44" xfId="4" applyNumberFormat="1" applyFont="1" applyBorder="1" applyAlignment="1">
      <alignment horizontal="center" vertical="center"/>
    </xf>
    <xf numFmtId="10" fontId="6" fillId="0" borderId="38" xfId="8" applyNumberFormat="1" applyFont="1" applyFill="1" applyBorder="1" applyAlignment="1">
      <alignment horizontal="center" vertical="center" wrapText="1"/>
    </xf>
    <xf numFmtId="10" fontId="6" fillId="0" borderId="38" xfId="4" applyNumberFormat="1" applyFont="1" applyBorder="1" applyAlignment="1">
      <alignment horizontal="center" vertical="center" wrapText="1"/>
    </xf>
    <xf numFmtId="10" fontId="6" fillId="0" borderId="38" xfId="5" applyNumberFormat="1" applyFont="1" applyFill="1" applyBorder="1" applyAlignment="1">
      <alignment horizontal="center" vertical="center"/>
    </xf>
    <xf numFmtId="9" fontId="6" fillId="0" borderId="38" xfId="4" applyNumberFormat="1" applyFont="1" applyBorder="1" applyAlignment="1">
      <alignment horizontal="center" vertical="center"/>
    </xf>
    <xf numFmtId="10" fontId="6" fillId="0" borderId="38" xfId="4" applyNumberFormat="1" applyFont="1" applyBorder="1" applyAlignment="1">
      <alignment horizontal="center" vertical="center"/>
    </xf>
    <xf numFmtId="0" fontId="6" fillId="0" borderId="38" xfId="8" applyNumberFormat="1" applyFont="1" applyFill="1" applyBorder="1" applyAlignment="1">
      <alignment horizontal="center" vertical="center" wrapText="1"/>
    </xf>
    <xf numFmtId="43" fontId="6" fillId="0" borderId="38" xfId="5" applyFont="1" applyFill="1" applyBorder="1" applyAlignment="1">
      <alignment horizontal="center" vertical="center"/>
    </xf>
    <xf numFmtId="0" fontId="6" fillId="0" borderId="38" xfId="8" applyNumberFormat="1" applyFont="1" applyFill="1" applyBorder="1" applyAlignment="1">
      <alignment horizontal="right" vertical="center" wrapText="1"/>
    </xf>
    <xf numFmtId="10" fontId="21" fillId="0" borderId="39" xfId="4" applyNumberFormat="1" applyFont="1" applyBorder="1" applyAlignment="1">
      <alignment horizontal="center" vertical="center" wrapText="1"/>
    </xf>
    <xf numFmtId="176" fontId="21" fillId="0" borderId="39" xfId="4" applyNumberFormat="1" applyFont="1" applyBorder="1" applyAlignment="1">
      <alignment horizontal="center" vertical="center" wrapText="1"/>
    </xf>
    <xf numFmtId="0" fontId="21" fillId="0" borderId="39" xfId="4" applyFont="1" applyBorder="1" applyAlignment="1">
      <alignment horizontal="center" vertical="center" wrapText="1"/>
    </xf>
    <xf numFmtId="9" fontId="21" fillId="0" borderId="39" xfId="4" applyNumberFormat="1" applyFont="1" applyBorder="1" applyAlignment="1">
      <alignment horizontal="center" vertical="center" wrapText="1"/>
    </xf>
    <xf numFmtId="0" fontId="21" fillId="0" borderId="39" xfId="4" applyFont="1" applyBorder="1" applyAlignment="1">
      <alignment horizontal="right" vertical="center" wrapText="1"/>
    </xf>
    <xf numFmtId="0" fontId="9" fillId="0" borderId="28" xfId="7" applyFont="1" applyBorder="1" applyAlignment="1">
      <alignment vertical="center"/>
    </xf>
    <xf numFmtId="43" fontId="11" fillId="0" borderId="28" xfId="8" applyFont="1" applyFill="1" applyBorder="1" applyAlignment="1">
      <alignment horizontal="center" vertical="center" wrapText="1"/>
    </xf>
    <xf numFmtId="0" fontId="6" fillId="0" borderId="28" xfId="4" applyFont="1" applyBorder="1" applyAlignment="1">
      <alignment horizontal="center" vertical="center" wrapText="1"/>
    </xf>
    <xf numFmtId="43" fontId="6" fillId="0" borderId="28" xfId="1" applyFont="1" applyFill="1" applyBorder="1" applyAlignment="1">
      <alignment horizontal="center" vertical="center" wrapText="1"/>
    </xf>
    <xf numFmtId="0" fontId="22" fillId="0" borderId="6" xfId="0" applyFont="1" applyBorder="1" applyAlignment="1">
      <alignment horizontal="center" vertical="center"/>
    </xf>
    <xf numFmtId="0" fontId="9" fillId="0" borderId="6" xfId="7" applyFont="1" applyBorder="1" applyAlignment="1">
      <alignment vertical="center"/>
    </xf>
    <xf numFmtId="49" fontId="6" fillId="0" borderId="6" xfId="4" applyNumberFormat="1" applyFont="1" applyBorder="1" applyAlignment="1">
      <alignment horizontal="left" vertical="center" wrapText="1"/>
    </xf>
    <xf numFmtId="43" fontId="6" fillId="0" borderId="6" xfId="1" applyFont="1" applyFill="1" applyBorder="1" applyAlignment="1">
      <alignment horizontal="center" vertical="center" wrapText="1"/>
    </xf>
    <xf numFmtId="43" fontId="6" fillId="0" borderId="6" xfId="5" applyFont="1" applyFill="1" applyBorder="1" applyAlignment="1">
      <alignment horizontal="center" vertical="center" wrapText="1"/>
    </xf>
    <xf numFmtId="0" fontId="6" fillId="0" borderId="6" xfId="4" applyFont="1" applyBorder="1" applyAlignment="1">
      <alignment horizontal="center" vertical="center" wrapText="1"/>
    </xf>
    <xf numFmtId="0" fontId="11" fillId="0" borderId="6" xfId="0" applyFont="1" applyBorder="1" applyAlignment="1">
      <alignment horizontal="right" vertical="center"/>
    </xf>
    <xf numFmtId="43" fontId="23" fillId="0" borderId="6" xfId="0" applyNumberFormat="1" applyFont="1" applyBorder="1" applyAlignment="1">
      <alignment horizontal="center" vertical="center"/>
    </xf>
    <xf numFmtId="176" fontId="6" fillId="0" borderId="5" xfId="4" applyNumberFormat="1" applyFont="1" applyBorder="1" applyAlignment="1">
      <alignment horizontal="center" vertical="center" wrapText="1"/>
    </xf>
    <xf numFmtId="0" fontId="9" fillId="4" borderId="6" xfId="7" applyFont="1" applyFill="1" applyBorder="1" applyAlignment="1">
      <alignment vertical="center"/>
    </xf>
    <xf numFmtId="49" fontId="6" fillId="4" borderId="6" xfId="4" applyNumberFormat="1" applyFont="1" applyFill="1" applyBorder="1" applyAlignment="1">
      <alignment horizontal="left" vertical="center" wrapText="1"/>
    </xf>
    <xf numFmtId="43" fontId="11" fillId="4" borderId="28" xfId="8" applyFont="1" applyFill="1" applyBorder="1" applyAlignment="1">
      <alignment horizontal="center" vertical="center" wrapText="1"/>
    </xf>
    <xf numFmtId="9" fontId="6" fillId="0" borderId="5" xfId="4" applyNumberFormat="1" applyFont="1" applyBorder="1" applyAlignment="1">
      <alignment horizontal="center" vertical="center" wrapText="1"/>
    </xf>
    <xf numFmtId="9" fontId="6" fillId="0" borderId="6" xfId="4" applyNumberFormat="1" applyFont="1" applyBorder="1" applyAlignment="1">
      <alignment horizontal="center" vertical="center" wrapText="1"/>
    </xf>
    <xf numFmtId="43" fontId="6" fillId="0" borderId="6" xfId="1" applyFont="1" applyFill="1" applyBorder="1" applyAlignment="1">
      <alignment horizontal="right" vertical="center" wrapText="1"/>
    </xf>
    <xf numFmtId="0" fontId="9" fillId="0" borderId="35" xfId="7" applyFont="1" applyBorder="1" applyAlignment="1">
      <alignment vertical="center"/>
    </xf>
    <xf numFmtId="49" fontId="6" fillId="0" borderId="35" xfId="4" applyNumberFormat="1" applyFont="1" applyBorder="1" applyAlignment="1">
      <alignment horizontal="left" vertical="center" wrapText="1"/>
    </xf>
    <xf numFmtId="0" fontId="6" fillId="0" borderId="34" xfId="4" applyFont="1" applyBorder="1" applyAlignment="1">
      <alignment horizontal="center" vertical="center" wrapText="1"/>
    </xf>
    <xf numFmtId="0" fontId="6" fillId="0" borderId="35" xfId="4" applyFont="1" applyBorder="1" applyAlignment="1">
      <alignment horizontal="center" vertical="center" wrapText="1"/>
    </xf>
    <xf numFmtId="43" fontId="6" fillId="0" borderId="35" xfId="1" applyFont="1" applyBorder="1" applyAlignment="1">
      <alignment horizontal="center" vertical="center" wrapText="1"/>
    </xf>
    <xf numFmtId="43" fontId="6" fillId="0" borderId="35" xfId="1" applyFont="1" applyFill="1" applyBorder="1" applyAlignment="1">
      <alignment horizontal="right" vertical="center" wrapText="1"/>
    </xf>
    <xf numFmtId="0" fontId="9" fillId="0" borderId="38" xfId="7" applyFont="1" applyBorder="1" applyAlignment="1">
      <alignment vertical="center"/>
    </xf>
    <xf numFmtId="0" fontId="6" fillId="0" borderId="47" xfId="4" applyFont="1" applyBorder="1" applyAlignment="1">
      <alignment horizontal="center" vertical="center" wrapText="1"/>
    </xf>
    <xf numFmtId="0" fontId="6" fillId="0" borderId="38" xfId="4" applyFont="1" applyBorder="1" applyAlignment="1">
      <alignment horizontal="center" vertical="center" wrapText="1"/>
    </xf>
    <xf numFmtId="176" fontId="6" fillId="0" borderId="38" xfId="5" applyNumberFormat="1" applyFont="1" applyFill="1" applyBorder="1" applyAlignment="1">
      <alignment horizontal="center" vertical="center"/>
    </xf>
    <xf numFmtId="43" fontId="6" fillId="0" borderId="38" xfId="1" applyFont="1" applyBorder="1" applyAlignment="1">
      <alignment horizontal="center" vertical="center" wrapText="1"/>
    </xf>
    <xf numFmtId="43" fontId="18" fillId="0" borderId="7" xfId="0" applyNumberFormat="1" applyFont="1" applyBorder="1" applyAlignment="1">
      <alignment horizontal="center" vertical="center"/>
    </xf>
    <xf numFmtId="0" fontId="22" fillId="0" borderId="7" xfId="0" applyFont="1" applyBorder="1" applyAlignment="1">
      <alignment horizontal="center" vertical="center"/>
    </xf>
    <xf numFmtId="43" fontId="23" fillId="0" borderId="7" xfId="0" applyNumberFormat="1" applyFont="1" applyBorder="1" applyAlignment="1">
      <alignment horizontal="right" vertical="center"/>
    </xf>
    <xf numFmtId="43" fontId="6" fillId="0" borderId="7" xfId="1" applyFont="1" applyFill="1" applyBorder="1" applyAlignment="1">
      <alignment horizontal="right" vertical="center" wrapText="1"/>
    </xf>
    <xf numFmtId="0" fontId="6" fillId="4" borderId="39" xfId="4" applyFont="1" applyFill="1" applyBorder="1" applyAlignment="1">
      <alignment horizontal="left" vertical="center"/>
    </xf>
    <xf numFmtId="49" fontId="6" fillId="4" borderId="39" xfId="4" applyNumberFormat="1" applyFont="1" applyFill="1" applyBorder="1" applyAlignment="1">
      <alignment vertical="center"/>
    </xf>
    <xf numFmtId="43" fontId="6" fillId="4" borderId="39" xfId="4" applyNumberFormat="1" applyFont="1" applyFill="1" applyBorder="1" applyAlignment="1">
      <alignment horizontal="center" vertical="center"/>
    </xf>
    <xf numFmtId="10" fontId="6" fillId="4" borderId="48" xfId="4" applyNumberFormat="1" applyFont="1" applyFill="1" applyBorder="1" applyAlignment="1">
      <alignment horizontal="center" vertical="center"/>
    </xf>
    <xf numFmtId="0" fontId="6" fillId="4" borderId="46" xfId="4" applyFont="1" applyFill="1" applyBorder="1" applyAlignment="1">
      <alignment horizontal="center" vertical="center"/>
    </xf>
    <xf numFmtId="0" fontId="6" fillId="4" borderId="39" xfId="4" applyFont="1" applyFill="1" applyBorder="1" applyAlignment="1">
      <alignment horizontal="center" vertical="center"/>
    </xf>
    <xf numFmtId="176" fontId="6" fillId="4" borderId="39" xfId="4" applyNumberFormat="1" applyFont="1" applyFill="1" applyBorder="1" applyAlignment="1">
      <alignment horizontal="center" vertical="center"/>
    </xf>
    <xf numFmtId="43" fontId="6" fillId="4" borderId="49" xfId="4" applyNumberFormat="1" applyFont="1" applyFill="1" applyBorder="1" applyAlignment="1">
      <alignment horizontal="right" vertical="center"/>
    </xf>
    <xf numFmtId="43" fontId="6" fillId="0" borderId="39" xfId="4" applyNumberFormat="1" applyFont="1" applyBorder="1" applyAlignment="1">
      <alignment horizontal="center" vertical="center"/>
    </xf>
    <xf numFmtId="0" fontId="6" fillId="0" borderId="43" xfId="4" applyFont="1" applyBorder="1" applyAlignment="1">
      <alignment vertical="center"/>
    </xf>
    <xf numFmtId="0" fontId="6" fillId="0" borderId="39" xfId="4" applyFont="1" applyBorder="1" applyAlignment="1">
      <alignment horizontal="left" vertical="center"/>
    </xf>
    <xf numFmtId="0" fontId="6" fillId="0" borderId="39" xfId="4" applyFont="1" applyBorder="1" applyAlignment="1">
      <alignment vertical="center"/>
    </xf>
    <xf numFmtId="9" fontId="6" fillId="0" borderId="39" xfId="4" applyNumberFormat="1" applyFont="1" applyBorder="1" applyAlignment="1">
      <alignment vertical="center"/>
    </xf>
    <xf numFmtId="10" fontId="6" fillId="0" borderId="48" xfId="4" applyNumberFormat="1" applyFont="1" applyBorder="1" applyAlignment="1">
      <alignment horizontal="center" vertical="center"/>
    </xf>
    <xf numFmtId="10" fontId="6" fillId="0" borderId="25" xfId="4" applyNumberFormat="1" applyFont="1" applyBorder="1" applyAlignment="1">
      <alignment vertical="center"/>
    </xf>
    <xf numFmtId="176" fontId="6" fillId="0" borderId="25" xfId="4" applyNumberFormat="1" applyFont="1" applyBorder="1" applyAlignment="1">
      <alignment vertical="center"/>
    </xf>
    <xf numFmtId="0" fontId="6" fillId="0" borderId="25" xfId="4" applyFont="1" applyBorder="1" applyAlignment="1">
      <alignment horizontal="center" vertical="center"/>
    </xf>
    <xf numFmtId="176" fontId="6" fillId="0" borderId="21" xfId="4" applyNumberFormat="1" applyFont="1" applyBorder="1" applyAlignment="1">
      <alignment horizontal="right" vertical="center"/>
    </xf>
    <xf numFmtId="4" fontId="5" fillId="0" borderId="0" xfId="4" applyNumberFormat="1" applyFont="1" applyAlignment="1">
      <alignment horizontal="left" vertical="center"/>
    </xf>
    <xf numFmtId="4" fontId="5" fillId="0" borderId="0" xfId="4" applyNumberFormat="1" applyFont="1" applyAlignment="1">
      <alignment vertical="center"/>
    </xf>
    <xf numFmtId="0" fontId="0" fillId="0" borderId="0" xfId="0" applyAlignment="1">
      <alignment horizontal="left" vertical="center"/>
    </xf>
    <xf numFmtId="0" fontId="20" fillId="2" borderId="6" xfId="0" applyFont="1" applyFill="1" applyBorder="1" applyAlignment="1">
      <alignment horizontal="left" vertical="center"/>
    </xf>
    <xf numFmtId="0" fontId="20" fillId="0" borderId="6" xfId="0" applyFont="1" applyBorder="1" applyAlignment="1">
      <alignment horizontal="left" vertical="center"/>
    </xf>
    <xf numFmtId="0" fontId="20" fillId="0" borderId="6" xfId="0" applyFont="1" applyBorder="1">
      <alignment vertical="center"/>
    </xf>
    <xf numFmtId="0" fontId="26" fillId="0" borderId="6" xfId="0" applyFont="1" applyBorder="1">
      <alignment vertical="center"/>
    </xf>
    <xf numFmtId="0" fontId="26" fillId="9" borderId="6" xfId="0" applyFont="1" applyFill="1" applyBorder="1" applyAlignment="1" applyProtection="1">
      <alignment horizontal="center" vertical="center"/>
      <protection locked="0"/>
    </xf>
    <xf numFmtId="179" fontId="26" fillId="9" borderId="6" xfId="0" applyNumberFormat="1" applyFont="1" applyFill="1" applyBorder="1" applyAlignment="1" applyProtection="1">
      <alignment horizontal="center" vertical="center"/>
      <protection locked="0"/>
    </xf>
    <xf numFmtId="0" fontId="27" fillId="0" borderId="6" xfId="0" applyFont="1" applyBorder="1">
      <alignment vertical="center"/>
    </xf>
    <xf numFmtId="179" fontId="28" fillId="9" borderId="0" xfId="0" applyNumberFormat="1" applyFont="1" applyFill="1" applyAlignment="1">
      <alignment horizontal="center" vertical="center" wrapText="1"/>
    </xf>
    <xf numFmtId="179" fontId="28" fillId="9" borderId="6" xfId="0" applyNumberFormat="1" applyFont="1" applyFill="1" applyBorder="1" applyAlignment="1" applyProtection="1">
      <alignment horizontal="center" vertical="center"/>
      <protection locked="0"/>
    </xf>
    <xf numFmtId="0" fontId="28" fillId="2" borderId="6" xfId="0" applyFont="1" applyFill="1" applyBorder="1">
      <alignment vertical="center"/>
    </xf>
    <xf numFmtId="0" fontId="26" fillId="2" borderId="6" xfId="0" applyFont="1" applyFill="1" applyBorder="1" applyAlignment="1">
      <alignment horizontal="center" vertical="center"/>
    </xf>
    <xf numFmtId="0" fontId="27" fillId="2" borderId="6" xfId="0" applyFont="1" applyFill="1" applyBorder="1">
      <alignment vertical="center"/>
    </xf>
    <xf numFmtId="0" fontId="0" fillId="2" borderId="6" xfId="0" applyFill="1" applyBorder="1">
      <alignment vertical="center"/>
    </xf>
    <xf numFmtId="0" fontId="22" fillId="0" borderId="0" xfId="0" applyFont="1">
      <alignment vertical="center"/>
    </xf>
    <xf numFmtId="43" fontId="0" fillId="0" borderId="0" xfId="0" applyNumberFormat="1" applyAlignment="1">
      <alignment horizontal="right" vertical="center"/>
    </xf>
    <xf numFmtId="43" fontId="29" fillId="0" borderId="0" xfId="0" applyNumberFormat="1" applyFont="1" applyAlignment="1">
      <alignment horizontal="right" vertical="center"/>
    </xf>
    <xf numFmtId="10" fontId="0" fillId="0" borderId="0" xfId="0" applyNumberFormat="1">
      <alignment vertical="center"/>
    </xf>
    <xf numFmtId="0" fontId="20" fillId="0" borderId="0" xfId="0" applyFont="1">
      <alignment vertical="center"/>
    </xf>
    <xf numFmtId="0" fontId="10" fillId="0" borderId="2" xfId="0" applyFont="1" applyBorder="1" applyAlignment="1">
      <alignment horizontal="center" vertical="center"/>
    </xf>
    <xf numFmtId="0" fontId="32" fillId="0" borderId="2" xfId="0" applyFont="1" applyBorder="1" applyAlignment="1">
      <alignment horizontal="center" vertical="center"/>
    </xf>
    <xf numFmtId="43" fontId="10" fillId="0" borderId="2" xfId="0" applyNumberFormat="1" applyFont="1" applyBorder="1" applyAlignment="1">
      <alignment horizontal="center" vertical="center"/>
    </xf>
    <xf numFmtId="10" fontId="10" fillId="0" borderId="2" xfId="0" applyNumberFormat="1" applyFont="1" applyBorder="1" applyAlignment="1">
      <alignment horizontal="center" vertical="center"/>
    </xf>
    <xf numFmtId="177" fontId="10" fillId="0" borderId="2" xfId="0" applyNumberFormat="1" applyFont="1" applyBorder="1" applyAlignment="1">
      <alignment horizontal="center" vertical="center"/>
    </xf>
    <xf numFmtId="43" fontId="32" fillId="0" borderId="3" xfId="0" applyNumberFormat="1" applyFont="1" applyBorder="1" applyAlignment="1">
      <alignment horizontal="center" vertical="center"/>
    </xf>
    <xf numFmtId="0" fontId="10" fillId="0" borderId="6" xfId="0" applyFont="1" applyBorder="1">
      <alignment vertical="center"/>
    </xf>
    <xf numFmtId="43" fontId="10" fillId="11" borderId="6" xfId="0" applyNumberFormat="1" applyFont="1" applyFill="1" applyBorder="1" applyAlignment="1">
      <alignment horizontal="center" vertical="center"/>
    </xf>
    <xf numFmtId="177" fontId="10" fillId="0" borderId="6" xfId="0" applyNumberFormat="1" applyFont="1" applyBorder="1" applyAlignment="1">
      <alignment horizontal="center" vertical="center"/>
    </xf>
    <xf numFmtId="10" fontId="0" fillId="0" borderId="6" xfId="0" applyNumberFormat="1" applyBorder="1">
      <alignment vertical="center"/>
    </xf>
    <xf numFmtId="10" fontId="19" fillId="0" borderId="16" xfId="0" applyNumberFormat="1" applyFont="1" applyBorder="1">
      <alignment vertical="center"/>
    </xf>
    <xf numFmtId="0" fontId="10" fillId="4" borderId="6" xfId="0" applyFont="1" applyFill="1" applyBorder="1">
      <alignment vertical="center"/>
    </xf>
    <xf numFmtId="177" fontId="10" fillId="4" borderId="6" xfId="0" applyNumberFormat="1" applyFont="1" applyFill="1" applyBorder="1" applyAlignment="1">
      <alignment horizontal="center" vertical="center"/>
    </xf>
    <xf numFmtId="10" fontId="0" fillId="4" borderId="6" xfId="0" applyNumberFormat="1" applyFill="1" applyBorder="1">
      <alignment vertical="center"/>
    </xf>
    <xf numFmtId="10" fontId="19" fillId="5" borderId="16" xfId="0" applyNumberFormat="1" applyFont="1" applyFill="1" applyBorder="1">
      <alignment vertical="center"/>
    </xf>
    <xf numFmtId="43" fontId="10" fillId="0" borderId="6" xfId="0" applyNumberFormat="1" applyFont="1" applyBorder="1" applyAlignment="1">
      <alignment horizontal="right" vertical="center"/>
    </xf>
    <xf numFmtId="43" fontId="10" fillId="5" borderId="6" xfId="0" applyNumberFormat="1" applyFont="1" applyFill="1" applyBorder="1" applyAlignment="1">
      <alignment horizontal="right" vertical="center"/>
    </xf>
    <xf numFmtId="43" fontId="10" fillId="0" borderId="6" xfId="1" applyFont="1" applyFill="1" applyBorder="1" applyAlignment="1">
      <alignment horizontal="center" vertical="center"/>
    </xf>
    <xf numFmtId="0" fontId="33" fillId="0" borderId="14" xfId="0" applyFont="1" applyBorder="1" applyAlignment="1">
      <alignment horizontal="center" vertical="center" textRotation="255" wrapText="1"/>
    </xf>
    <xf numFmtId="0" fontId="34" fillId="0" borderId="50" xfId="0" applyFont="1" applyBorder="1">
      <alignment vertical="center"/>
    </xf>
    <xf numFmtId="0" fontId="34" fillId="0" borderId="9" xfId="0" applyFont="1" applyBorder="1">
      <alignment vertical="center"/>
    </xf>
    <xf numFmtId="0" fontId="22" fillId="0" borderId="6" xfId="0" applyFont="1" applyBorder="1">
      <alignment vertical="center"/>
    </xf>
    <xf numFmtId="43" fontId="0" fillId="12" borderId="6" xfId="0" applyNumberFormat="1" applyFill="1" applyBorder="1" applyAlignment="1">
      <alignment horizontal="right" vertical="center"/>
    </xf>
    <xf numFmtId="43" fontId="35" fillId="12" borderId="6" xfId="0" applyNumberFormat="1" applyFont="1" applyFill="1" applyBorder="1" applyAlignment="1">
      <alignment horizontal="right" vertical="center" wrapText="1"/>
    </xf>
    <xf numFmtId="177" fontId="35" fillId="0" borderId="6" xfId="0" applyNumberFormat="1" applyFont="1" applyBorder="1" applyAlignment="1">
      <alignment horizontal="center" vertical="center" wrapText="1"/>
    </xf>
    <xf numFmtId="0" fontId="10" fillId="0" borderId="6" xfId="0" applyFont="1" applyBorder="1" applyAlignment="1">
      <alignment horizontal="left" vertical="center"/>
    </xf>
    <xf numFmtId="0" fontId="32" fillId="0" borderId="6" xfId="0" applyFont="1" applyBorder="1" applyAlignment="1">
      <alignment horizontal="left" vertical="center"/>
    </xf>
    <xf numFmtId="177" fontId="35" fillId="0" borderId="6" xfId="0" applyNumberFormat="1" applyFont="1" applyBorder="1" applyAlignment="1">
      <alignment horizontal="center" vertical="center"/>
    </xf>
    <xf numFmtId="0" fontId="32" fillId="13" borderId="6" xfId="0" applyFont="1" applyFill="1" applyBorder="1">
      <alignment vertical="center"/>
    </xf>
    <xf numFmtId="43" fontId="10" fillId="13" borderId="6" xfId="0" applyNumberFormat="1" applyFont="1" applyFill="1" applyBorder="1" applyAlignment="1">
      <alignment horizontal="right" vertical="center"/>
    </xf>
    <xf numFmtId="43" fontId="10" fillId="13" borderId="6" xfId="0" applyNumberFormat="1" applyFont="1" applyFill="1" applyBorder="1" applyAlignment="1">
      <alignment horizontal="center" vertical="center"/>
    </xf>
    <xf numFmtId="0" fontId="20" fillId="4" borderId="16" xfId="0" applyFont="1" applyFill="1" applyBorder="1">
      <alignment vertical="center"/>
    </xf>
    <xf numFmtId="0" fontId="10" fillId="13" borderId="6" xfId="0" applyFont="1" applyFill="1" applyBorder="1">
      <alignment vertical="center"/>
    </xf>
    <xf numFmtId="10" fontId="10" fillId="13" borderId="6" xfId="0" applyNumberFormat="1" applyFont="1" applyFill="1" applyBorder="1" applyAlignment="1">
      <alignment horizontal="center" vertical="center"/>
    </xf>
    <xf numFmtId="10" fontId="35" fillId="4" borderId="6" xfId="0" applyNumberFormat="1" applyFont="1" applyFill="1" applyBorder="1" applyAlignment="1">
      <alignment horizontal="center" vertical="center"/>
    </xf>
    <xf numFmtId="0" fontId="35" fillId="0" borderId="6" xfId="0" applyFont="1" applyBorder="1">
      <alignment vertical="center"/>
    </xf>
    <xf numFmtId="0" fontId="20" fillId="0" borderId="16" xfId="0" applyFont="1" applyBorder="1">
      <alignment vertical="center"/>
    </xf>
    <xf numFmtId="43" fontId="32" fillId="0" borderId="31" xfId="0" applyNumberFormat="1" applyFont="1" applyBorder="1" applyAlignment="1">
      <alignment horizontal="right" vertical="center"/>
    </xf>
    <xf numFmtId="176" fontId="35" fillId="0" borderId="6" xfId="0" applyNumberFormat="1" applyFont="1" applyBorder="1">
      <alignment vertical="center"/>
    </xf>
    <xf numFmtId="0" fontId="37" fillId="0" borderId="6" xfId="0" applyFont="1" applyBorder="1">
      <alignment vertical="center"/>
    </xf>
    <xf numFmtId="0" fontId="10" fillId="0" borderId="6" xfId="0" applyFont="1" applyBorder="1" applyAlignment="1">
      <alignment vertical="center" wrapText="1"/>
    </xf>
    <xf numFmtId="0" fontId="10" fillId="13" borderId="15" xfId="0" applyFont="1" applyFill="1" applyBorder="1" applyAlignment="1">
      <alignment horizontal="left" vertical="center"/>
    </xf>
    <xf numFmtId="0" fontId="10" fillId="13" borderId="51" xfId="0" applyFont="1" applyFill="1" applyBorder="1">
      <alignment vertical="center"/>
    </xf>
    <xf numFmtId="0" fontId="10" fillId="13" borderId="8" xfId="0" applyFont="1" applyFill="1" applyBorder="1">
      <alignment vertical="center"/>
    </xf>
    <xf numFmtId="0" fontId="10" fillId="13" borderId="4" xfId="0" applyFont="1" applyFill="1" applyBorder="1" applyAlignment="1">
      <alignment horizontal="left" vertical="center"/>
    </xf>
    <xf numFmtId="43" fontId="10" fillId="13" borderId="4" xfId="0" applyNumberFormat="1" applyFont="1" applyFill="1" applyBorder="1" applyAlignment="1">
      <alignment horizontal="right" vertical="center"/>
    </xf>
    <xf numFmtId="10" fontId="10" fillId="13" borderId="4" xfId="0" applyNumberFormat="1" applyFont="1" applyFill="1" applyBorder="1" applyAlignment="1">
      <alignment horizontal="center" vertical="center"/>
    </xf>
    <xf numFmtId="177" fontId="10" fillId="4" borderId="4" xfId="0" applyNumberFormat="1" applyFont="1" applyFill="1" applyBorder="1" applyAlignment="1">
      <alignment horizontal="center" vertical="center"/>
    </xf>
    <xf numFmtId="10" fontId="0" fillId="4" borderId="4" xfId="0" applyNumberFormat="1" applyFill="1" applyBorder="1">
      <alignment vertical="center"/>
    </xf>
    <xf numFmtId="0" fontId="20" fillId="4" borderId="18" xfId="0" applyFont="1" applyFill="1" applyBorder="1">
      <alignment vertical="center"/>
    </xf>
    <xf numFmtId="0" fontId="10" fillId="0" borderId="31" xfId="0" applyFont="1" applyBorder="1" applyAlignment="1">
      <alignment vertical="center" wrapText="1"/>
    </xf>
    <xf numFmtId="10" fontId="0" fillId="0" borderId="31" xfId="0" applyNumberFormat="1" applyBorder="1" applyAlignment="1">
      <alignment horizontal="center" vertical="center"/>
    </xf>
    <xf numFmtId="179" fontId="0" fillId="0" borderId="31" xfId="0" applyNumberFormat="1" applyBorder="1" applyAlignment="1">
      <alignment horizontal="center" vertical="center"/>
    </xf>
    <xf numFmtId="179" fontId="0" fillId="0" borderId="31" xfId="0" applyNumberFormat="1" applyBorder="1">
      <alignment vertical="center"/>
    </xf>
    <xf numFmtId="0" fontId="0" fillId="0" borderId="31" xfId="0" applyBorder="1">
      <alignment vertical="center"/>
    </xf>
    <xf numFmtId="0" fontId="20" fillId="0" borderId="31" xfId="0" applyFont="1" applyBorder="1">
      <alignment vertical="center"/>
    </xf>
    <xf numFmtId="181" fontId="10" fillId="0" borderId="31" xfId="0" applyNumberFormat="1" applyFont="1" applyBorder="1" applyAlignment="1">
      <alignment horizontal="right" vertical="center" wrapText="1"/>
    </xf>
    <xf numFmtId="10" fontId="0" fillId="0" borderId="31" xfId="0" applyNumberFormat="1" applyBorder="1">
      <alignment vertical="center"/>
    </xf>
    <xf numFmtId="43" fontId="10" fillId="0" borderId="0" xfId="0" applyNumberFormat="1" applyFont="1" applyAlignment="1">
      <alignment horizontal="center" vertical="center"/>
    </xf>
    <xf numFmtId="181" fontId="10" fillId="0" borderId="31" xfId="0" applyNumberFormat="1" applyFont="1" applyBorder="1" applyAlignment="1">
      <alignment horizontal="right" vertical="center"/>
    </xf>
    <xf numFmtId="10" fontId="10" fillId="0" borderId="31" xfId="0" applyNumberFormat="1" applyFont="1" applyBorder="1" applyAlignment="1">
      <alignment horizontal="right" vertical="center"/>
    </xf>
    <xf numFmtId="0" fontId="22" fillId="0" borderId="14" xfId="0" applyFont="1" applyBorder="1" applyAlignment="1">
      <alignment horizontal="center" vertical="center"/>
    </xf>
    <xf numFmtId="0" fontId="0" fillId="0" borderId="14" xfId="0" applyBorder="1">
      <alignment vertical="center"/>
    </xf>
    <xf numFmtId="10" fontId="22" fillId="0" borderId="6" xfId="0" applyNumberFormat="1" applyFont="1" applyBorder="1" applyAlignment="1">
      <alignment horizontal="center" vertical="center"/>
    </xf>
    <xf numFmtId="0" fontId="0" fillId="0" borderId="6" xfId="0" applyBorder="1">
      <alignment vertical="center"/>
    </xf>
    <xf numFmtId="0" fontId="10" fillId="11" borderId="6" xfId="0" applyFont="1" applyFill="1" applyBorder="1">
      <alignment vertical="center"/>
    </xf>
    <xf numFmtId="43" fontId="22" fillId="0" borderId="6" xfId="0" applyNumberFormat="1" applyFont="1" applyBorder="1" applyAlignment="1">
      <alignment horizontal="center" vertical="center"/>
    </xf>
    <xf numFmtId="182" fontId="22" fillId="0" borderId="6" xfId="0" applyNumberFormat="1" applyFont="1" applyBorder="1" applyAlignment="1">
      <alignment horizontal="center" vertical="center"/>
    </xf>
    <xf numFmtId="0" fontId="26" fillId="0" borderId="0" xfId="2" applyFont="1" applyAlignment="1">
      <alignment vertical="center"/>
    </xf>
    <xf numFmtId="0" fontId="26" fillId="0" borderId="0" xfId="2" applyFont="1"/>
    <xf numFmtId="0" fontId="39" fillId="0" borderId="0" xfId="2" applyFont="1" applyAlignment="1">
      <alignment horizontal="center"/>
    </xf>
    <xf numFmtId="0" fontId="26" fillId="0" borderId="0" xfId="2" applyFont="1" applyAlignment="1">
      <alignment horizontal="center" vertical="center"/>
    </xf>
    <xf numFmtId="0" fontId="29" fillId="0" borderId="0" xfId="2" applyFont="1"/>
    <xf numFmtId="49" fontId="26" fillId="0" borderId="0" xfId="2" applyNumberFormat="1" applyFont="1"/>
    <xf numFmtId="10" fontId="26" fillId="0" borderId="0" xfId="2" applyNumberFormat="1" applyFont="1" applyAlignment="1">
      <alignment horizontal="right"/>
    </xf>
    <xf numFmtId="0" fontId="19" fillId="0" borderId="6" xfId="2" applyFont="1" applyBorder="1" applyAlignment="1">
      <alignment horizontal="center" vertical="center"/>
    </xf>
    <xf numFmtId="0" fontId="19" fillId="11" borderId="55" xfId="2" applyFont="1" applyFill="1" applyBorder="1" applyAlignment="1">
      <alignment horizontal="center" vertical="center"/>
    </xf>
    <xf numFmtId="0" fontId="19" fillId="11" borderId="49" xfId="2" applyFont="1" applyFill="1" applyBorder="1" applyAlignment="1">
      <alignment horizontal="center" vertical="center"/>
    </xf>
    <xf numFmtId="49" fontId="19" fillId="11" borderId="49" xfId="2" applyNumberFormat="1" applyFont="1" applyFill="1" applyBorder="1" applyAlignment="1">
      <alignment horizontal="center" vertical="center"/>
    </xf>
    <xf numFmtId="0" fontId="19" fillId="11" borderId="49" xfId="2" applyFont="1" applyFill="1" applyBorder="1" applyAlignment="1">
      <alignment horizontal="center" vertical="center" wrapText="1"/>
    </xf>
    <xf numFmtId="0" fontId="19" fillId="0" borderId="49" xfId="2" applyFont="1" applyBorder="1" applyAlignment="1">
      <alignment horizontal="center" vertical="center"/>
    </xf>
    <xf numFmtId="10" fontId="19" fillId="0" borderId="49" xfId="2" applyNumberFormat="1" applyFont="1" applyBorder="1" applyAlignment="1">
      <alignment horizontal="center" vertical="center" wrapText="1"/>
    </xf>
    <xf numFmtId="0" fontId="41" fillId="11" borderId="49" xfId="2" applyFont="1" applyFill="1" applyBorder="1" applyAlignment="1">
      <alignment horizontal="center" vertical="center"/>
    </xf>
    <xf numFmtId="0" fontId="41" fillId="11" borderId="49" xfId="2" applyFont="1" applyFill="1" applyBorder="1" applyAlignment="1">
      <alignment horizontal="center" vertical="center" wrapText="1"/>
    </xf>
    <xf numFmtId="0" fontId="41" fillId="14" borderId="49" xfId="2" applyFont="1" applyFill="1" applyBorder="1" applyAlignment="1">
      <alignment horizontal="center" vertical="center" wrapText="1"/>
    </xf>
    <xf numFmtId="0" fontId="41" fillId="14" borderId="56" xfId="2" applyFont="1" applyFill="1" applyBorder="1" applyAlignment="1">
      <alignment horizontal="center" vertical="center" wrapText="1"/>
    </xf>
    <xf numFmtId="0" fontId="20" fillId="0" borderId="3" xfId="2" applyFont="1" applyBorder="1" applyAlignment="1">
      <alignment vertical="center"/>
    </xf>
    <xf numFmtId="0" fontId="19" fillId="11" borderId="6" xfId="2" applyFont="1" applyFill="1" applyBorder="1" applyAlignment="1">
      <alignment horizontal="center" vertical="center"/>
    </xf>
    <xf numFmtId="0" fontId="19" fillId="11" borderId="6" xfId="2" applyFont="1" applyFill="1" applyBorder="1" applyAlignment="1">
      <alignment horizontal="left" vertical="center"/>
    </xf>
    <xf numFmtId="49" fontId="19" fillId="11" borderId="6" xfId="2" applyNumberFormat="1" applyFont="1" applyFill="1" applyBorder="1" applyAlignment="1">
      <alignment horizontal="left" vertical="center"/>
    </xf>
    <xf numFmtId="43" fontId="20" fillId="0" borderId="6" xfId="1" applyFont="1" applyFill="1" applyBorder="1" applyAlignment="1">
      <alignment horizontal="left" vertical="center"/>
    </xf>
    <xf numFmtId="10" fontId="20" fillId="0" borderId="6" xfId="2" applyNumberFormat="1" applyFont="1" applyBorder="1" applyAlignment="1">
      <alignment horizontal="right" vertical="center"/>
    </xf>
    <xf numFmtId="9" fontId="20" fillId="0" borderId="6" xfId="2" applyNumberFormat="1" applyFont="1" applyBorder="1" applyAlignment="1">
      <alignment horizontal="center" vertical="center"/>
    </xf>
    <xf numFmtId="9" fontId="20" fillId="0" borderId="6" xfId="2" applyNumberFormat="1" applyFont="1" applyBorder="1" applyAlignment="1">
      <alignment horizontal="left" vertical="center"/>
    </xf>
    <xf numFmtId="9" fontId="20" fillId="0" borderId="26" xfId="2" applyNumberFormat="1" applyFont="1" applyBorder="1" applyAlignment="1">
      <alignment horizontal="left" vertical="center"/>
    </xf>
    <xf numFmtId="10" fontId="26" fillId="0" borderId="16" xfId="2" applyNumberFormat="1" applyFont="1" applyBorder="1" applyAlignment="1">
      <alignment vertical="center"/>
    </xf>
    <xf numFmtId="0" fontId="41" fillId="15" borderId="6" xfId="2" applyFont="1" applyFill="1" applyBorder="1" applyAlignment="1">
      <alignment vertical="center" wrapText="1"/>
    </xf>
    <xf numFmtId="0" fontId="19" fillId="15" borderId="6" xfId="2" applyFont="1" applyFill="1" applyBorder="1" applyAlignment="1">
      <alignment horizontal="center" vertical="center"/>
    </xf>
    <xf numFmtId="0" fontId="19" fillId="15" borderId="6" xfId="2" applyFont="1" applyFill="1" applyBorder="1" applyAlignment="1">
      <alignment horizontal="left" vertical="center"/>
    </xf>
    <xf numFmtId="49" fontId="19" fillId="13" borderId="6" xfId="3" applyNumberFormat="1" applyFont="1" applyFill="1" applyBorder="1" applyAlignment="1">
      <alignment horizontal="left" vertical="center"/>
    </xf>
    <xf numFmtId="43" fontId="20" fillId="5" borderId="6" xfId="1" applyFont="1" applyFill="1" applyBorder="1" applyAlignment="1">
      <alignment horizontal="left" vertical="center"/>
    </xf>
    <xf numFmtId="10" fontId="20" fillId="13" borderId="6" xfId="2" applyNumberFormat="1" applyFont="1" applyFill="1" applyBorder="1" applyAlignment="1">
      <alignment horizontal="right" vertical="center"/>
    </xf>
    <xf numFmtId="43" fontId="26" fillId="0" borderId="6" xfId="1" applyFont="1" applyFill="1" applyBorder="1" applyAlignment="1">
      <alignment horizontal="left" vertical="center"/>
    </xf>
    <xf numFmtId="0" fontId="41" fillId="0" borderId="6" xfId="2" applyFont="1" applyBorder="1" applyAlignment="1">
      <alignment horizontal="center" vertical="center" wrapText="1"/>
    </xf>
    <xf numFmtId="0" fontId="19" fillId="11" borderId="5" xfId="2" applyFont="1" applyFill="1" applyBorder="1" applyAlignment="1">
      <alignment horizontal="center" vertical="center"/>
    </xf>
    <xf numFmtId="43" fontId="18" fillId="0" borderId="6" xfId="1" applyFont="1" applyFill="1" applyBorder="1" applyAlignment="1">
      <alignment vertical="center"/>
    </xf>
    <xf numFmtId="0" fontId="19" fillId="5" borderId="5" xfId="2" applyFont="1" applyFill="1" applyBorder="1" applyAlignment="1">
      <alignment horizontal="center" vertical="center"/>
    </xf>
    <xf numFmtId="0" fontId="10" fillId="5" borderId="5" xfId="2" applyFont="1" applyFill="1" applyBorder="1" applyAlignment="1">
      <alignment horizontal="left" vertical="center"/>
    </xf>
    <xf numFmtId="49" fontId="19" fillId="5" borderId="6" xfId="3" applyNumberFormat="1" applyFont="1" applyFill="1" applyBorder="1" applyAlignment="1">
      <alignment horizontal="left" vertical="center"/>
    </xf>
    <xf numFmtId="43" fontId="20" fillId="5" borderId="6" xfId="3" applyFont="1" applyFill="1" applyBorder="1" applyAlignment="1">
      <alignment horizontal="left" vertical="center"/>
    </xf>
    <xf numFmtId="0" fontId="41" fillId="15" borderId="4" xfId="2" applyFont="1" applyFill="1" applyBorder="1" applyAlignment="1">
      <alignment horizontal="center" vertical="center"/>
    </xf>
    <xf numFmtId="49" fontId="19" fillId="15" borderId="6" xfId="3" applyNumberFormat="1" applyFont="1" applyFill="1" applyBorder="1" applyAlignment="1">
      <alignment horizontal="left" vertical="center"/>
    </xf>
    <xf numFmtId="43" fontId="20" fillId="4" borderId="6" xfId="1" applyFont="1" applyFill="1" applyBorder="1" applyAlignment="1">
      <alignment horizontal="left" vertical="center"/>
    </xf>
    <xf numFmtId="10" fontId="20" fillId="15" borderId="6" xfId="2" applyNumberFormat="1" applyFont="1" applyFill="1" applyBorder="1" applyAlignment="1">
      <alignment horizontal="right" vertical="center"/>
    </xf>
    <xf numFmtId="43" fontId="20" fillId="15" borderId="6" xfId="1" applyFont="1" applyFill="1" applyBorder="1" applyAlignment="1">
      <alignment horizontal="left" vertical="center"/>
    </xf>
    <xf numFmtId="0" fontId="20" fillId="15" borderId="6" xfId="2" applyFont="1" applyFill="1" applyBorder="1" applyAlignment="1">
      <alignment horizontal="left" vertical="center"/>
    </xf>
    <xf numFmtId="9" fontId="20" fillId="15" borderId="6" xfId="2" applyNumberFormat="1" applyFont="1" applyFill="1" applyBorder="1" applyAlignment="1">
      <alignment horizontal="left" vertical="center"/>
    </xf>
    <xf numFmtId="9" fontId="20" fillId="15" borderId="26" xfId="2" applyNumberFormat="1" applyFont="1" applyFill="1" applyBorder="1" applyAlignment="1">
      <alignment horizontal="left" vertical="center"/>
    </xf>
    <xf numFmtId="43" fontId="20" fillId="11" borderId="6" xfId="1" applyFont="1" applyFill="1" applyBorder="1" applyAlignment="1">
      <alignment horizontal="left" vertical="center"/>
    </xf>
    <xf numFmtId="10" fontId="20" fillId="11" borderId="6" xfId="2" applyNumberFormat="1" applyFont="1" applyFill="1" applyBorder="1" applyAlignment="1">
      <alignment horizontal="right" vertical="center"/>
    </xf>
    <xf numFmtId="0" fontId="20" fillId="11" borderId="6" xfId="2" applyFont="1" applyFill="1" applyBorder="1" applyAlignment="1">
      <alignment horizontal="center" vertical="center"/>
    </xf>
    <xf numFmtId="9" fontId="20" fillId="11" borderId="6" xfId="2" applyNumberFormat="1" applyFont="1" applyFill="1" applyBorder="1" applyAlignment="1">
      <alignment horizontal="left" vertical="center"/>
    </xf>
    <xf numFmtId="49" fontId="19" fillId="11" borderId="6" xfId="3" applyNumberFormat="1" applyFont="1" applyFill="1" applyBorder="1" applyAlignment="1">
      <alignment horizontal="left" vertical="center"/>
    </xf>
    <xf numFmtId="0" fontId="41" fillId="15" borderId="6" xfId="2" applyFont="1" applyFill="1" applyBorder="1" applyAlignment="1">
      <alignment horizontal="center" vertical="center"/>
    </xf>
    <xf numFmtId="43" fontId="20" fillId="15" borderId="6" xfId="1" applyFont="1" applyFill="1" applyBorder="1" applyAlignment="1">
      <alignment vertical="center"/>
    </xf>
    <xf numFmtId="0" fontId="20" fillId="15" borderId="6" xfId="2" applyFont="1" applyFill="1" applyBorder="1" applyAlignment="1">
      <alignment horizontal="center" vertical="center"/>
    </xf>
    <xf numFmtId="0" fontId="29" fillId="11" borderId="6" xfId="2" applyFont="1" applyFill="1" applyBorder="1" applyAlignment="1">
      <alignment horizontal="center" vertical="center"/>
    </xf>
    <xf numFmtId="179" fontId="19" fillId="11" borderId="6" xfId="2" applyNumberFormat="1" applyFont="1" applyFill="1" applyBorder="1" applyAlignment="1">
      <alignment horizontal="right" vertical="center"/>
    </xf>
    <xf numFmtId="179" fontId="20" fillId="11" borderId="6" xfId="1" applyNumberFormat="1" applyFont="1" applyFill="1" applyBorder="1" applyAlignment="1">
      <alignment horizontal="right" vertical="center"/>
    </xf>
    <xf numFmtId="0" fontId="10" fillId="11" borderId="6" xfId="2" applyFont="1" applyFill="1" applyBorder="1" applyAlignment="1">
      <alignment horizontal="left" vertical="center"/>
    </xf>
    <xf numFmtId="43" fontId="19" fillId="11" borderId="6" xfId="2" applyNumberFormat="1" applyFont="1" applyFill="1" applyBorder="1" applyAlignment="1">
      <alignment horizontal="left" vertical="center"/>
    </xf>
    <xf numFmtId="43" fontId="20" fillId="2" borderId="6" xfId="3" applyFont="1" applyFill="1" applyBorder="1" applyAlignment="1">
      <alignment horizontal="left" vertical="center"/>
    </xf>
    <xf numFmtId="43" fontId="20" fillId="11" borderId="6" xfId="3" applyFont="1" applyFill="1" applyBorder="1" applyAlignment="1">
      <alignment horizontal="left" vertical="center"/>
    </xf>
    <xf numFmtId="0" fontId="42" fillId="0" borderId="6" xfId="2" applyFont="1" applyBorder="1" applyAlignment="1">
      <alignment horizontal="left" vertical="center"/>
    </xf>
    <xf numFmtId="0" fontId="20" fillId="11" borderId="6" xfId="2" applyFont="1" applyFill="1" applyBorder="1" applyAlignment="1">
      <alignment horizontal="left" vertical="center"/>
    </xf>
    <xf numFmtId="0" fontId="18" fillId="11" borderId="6" xfId="0" applyFont="1" applyFill="1" applyBorder="1" applyAlignment="1">
      <alignment horizontal="center" vertical="center" wrapText="1"/>
    </xf>
    <xf numFmtId="49" fontId="32" fillId="11" borderId="6" xfId="2" applyNumberFormat="1" applyFont="1" applyFill="1" applyBorder="1" applyAlignment="1">
      <alignment horizontal="left" vertical="center"/>
    </xf>
    <xf numFmtId="176" fontId="20" fillId="11" borderId="6" xfId="2" applyNumberFormat="1" applyFont="1" applyFill="1" applyBorder="1" applyAlignment="1">
      <alignment horizontal="right" vertical="center"/>
    </xf>
    <xf numFmtId="0" fontId="41" fillId="0" borderId="0" xfId="2" applyFont="1" applyAlignment="1">
      <alignment horizontal="center" vertical="center" wrapText="1"/>
    </xf>
    <xf numFmtId="0" fontId="26" fillId="0" borderId="0" xfId="2" applyFont="1" applyAlignment="1">
      <alignment horizontal="center"/>
    </xf>
    <xf numFmtId="0" fontId="18" fillId="11" borderId="0" xfId="2" applyFont="1" applyFill="1"/>
    <xf numFmtId="10" fontId="18" fillId="11" borderId="0" xfId="2" applyNumberFormat="1" applyFont="1" applyFill="1" applyAlignment="1">
      <alignment horizontal="right"/>
    </xf>
    <xf numFmtId="0" fontId="26" fillId="0" borderId="6" xfId="0" applyFont="1" applyBorder="1" applyAlignment="1" applyProtection="1">
      <alignment horizontal="center" vertical="center"/>
      <protection locked="0"/>
    </xf>
    <xf numFmtId="179" fontId="26" fillId="0" borderId="6" xfId="0" applyNumberFormat="1" applyFont="1" applyBorder="1" applyAlignment="1" applyProtection="1">
      <alignment horizontal="center" vertical="center"/>
      <protection locked="0"/>
    </xf>
    <xf numFmtId="0" fontId="27" fillId="12" borderId="6" xfId="0" applyFont="1" applyFill="1" applyBorder="1">
      <alignment vertical="center"/>
    </xf>
    <xf numFmtId="179" fontId="28" fillId="0" borderId="0" xfId="0" applyNumberFormat="1" applyFont="1" applyAlignment="1">
      <alignment horizontal="center" vertical="center" wrapText="1"/>
    </xf>
    <xf numFmtId="179" fontId="28" fillId="0" borderId="6" xfId="0" applyNumberFormat="1" applyFont="1" applyBorder="1" applyAlignment="1" applyProtection="1">
      <alignment horizontal="center" vertical="center"/>
      <protection locked="0"/>
    </xf>
    <xf numFmtId="0" fontId="26" fillId="0" borderId="6" xfId="0" applyFont="1" applyBorder="1" applyAlignment="1">
      <alignment horizontal="center" vertical="center"/>
    </xf>
    <xf numFmtId="0" fontId="0" fillId="12" borderId="6" xfId="0" applyFill="1" applyBorder="1">
      <alignment vertical="center"/>
    </xf>
    <xf numFmtId="43" fontId="10" fillId="0" borderId="2" xfId="0" applyNumberFormat="1" applyFont="1" applyBorder="1" applyAlignment="1">
      <alignment horizontal="right" vertical="center"/>
    </xf>
    <xf numFmtId="177" fontId="10" fillId="0" borderId="2" xfId="0" applyNumberFormat="1" applyFont="1" applyBorder="1" applyAlignment="1">
      <alignment horizontal="left" vertical="center"/>
    </xf>
    <xf numFmtId="0" fontId="10" fillId="0" borderId="2" xfId="0" applyFont="1" applyBorder="1" applyAlignment="1">
      <alignment horizontal="left" vertical="center"/>
    </xf>
    <xf numFmtId="10" fontId="10" fillId="0" borderId="2" xfId="0" applyNumberFormat="1" applyFont="1" applyBorder="1" applyAlignment="1">
      <alignment horizontal="left" vertical="center"/>
    </xf>
    <xf numFmtId="177" fontId="10" fillId="5" borderId="6" xfId="0" applyNumberFormat="1" applyFont="1" applyFill="1" applyBorder="1" applyAlignment="1">
      <alignment horizontal="center" vertical="center"/>
    </xf>
    <xf numFmtId="43" fontId="10" fillId="4" borderId="6" xfId="0" applyNumberFormat="1" applyFont="1" applyFill="1" applyBorder="1">
      <alignment vertical="center"/>
    </xf>
    <xf numFmtId="43" fontId="10" fillId="5" borderId="6" xfId="1" applyFont="1" applyFill="1" applyBorder="1" applyAlignment="1">
      <alignment horizontal="center" vertical="center"/>
    </xf>
    <xf numFmtId="10" fontId="0" fillId="5" borderId="6" xfId="0" applyNumberFormat="1" applyFill="1" applyBorder="1">
      <alignment vertical="center"/>
    </xf>
    <xf numFmtId="43" fontId="10" fillId="0" borderId="6" xfId="0" applyNumberFormat="1" applyFont="1" applyBorder="1" applyAlignment="1">
      <alignment horizontal="left" vertical="center"/>
    </xf>
    <xf numFmtId="43" fontId="10" fillId="13" borderId="6" xfId="0" applyNumberFormat="1" applyFont="1" applyFill="1" applyBorder="1">
      <alignment vertical="center"/>
    </xf>
    <xf numFmtId="176" fontId="10" fillId="13" borderId="4" xfId="0" applyNumberFormat="1" applyFont="1" applyFill="1" applyBorder="1" applyAlignment="1">
      <alignment horizontal="right" vertical="center"/>
    </xf>
    <xf numFmtId="176" fontId="10" fillId="0" borderId="31" xfId="0" applyNumberFormat="1" applyFont="1" applyBorder="1" applyAlignment="1">
      <alignment vertical="center" wrapText="1"/>
    </xf>
    <xf numFmtId="181" fontId="10" fillId="0" borderId="31" xfId="0" applyNumberFormat="1" applyFont="1" applyBorder="1" applyAlignment="1">
      <alignment horizontal="center" vertical="center" wrapText="1"/>
    </xf>
    <xf numFmtId="181" fontId="10" fillId="0" borderId="31" xfId="0" applyNumberFormat="1" applyFont="1" applyBorder="1" applyAlignment="1">
      <alignment horizontal="center" vertical="center"/>
    </xf>
    <xf numFmtId="10" fontId="10" fillId="0" borderId="31" xfId="0" applyNumberFormat="1" applyFont="1" applyBorder="1" applyAlignment="1">
      <alignment horizontal="center" vertical="center"/>
    </xf>
    <xf numFmtId="0" fontId="42" fillId="7" borderId="6" xfId="2" applyFont="1" applyFill="1" applyBorder="1" applyAlignment="1">
      <alignment horizontal="left" vertical="center"/>
    </xf>
    <xf numFmtId="179" fontId="26" fillId="2" borderId="6" xfId="0" applyNumberFormat="1" applyFont="1" applyFill="1" applyBorder="1" applyAlignment="1" applyProtection="1">
      <alignment horizontal="center" vertical="center"/>
      <protection locked="0"/>
    </xf>
    <xf numFmtId="183" fontId="0" fillId="0" borderId="0" xfId="0" applyNumberFormat="1">
      <alignment vertical="center"/>
    </xf>
    <xf numFmtId="183" fontId="10" fillId="0" borderId="2" xfId="0" applyNumberFormat="1" applyFont="1" applyBorder="1" applyAlignment="1">
      <alignment horizontal="left" vertical="center"/>
    </xf>
    <xf numFmtId="183" fontId="10" fillId="11" borderId="6" xfId="0" applyNumberFormat="1" applyFont="1" applyFill="1" applyBorder="1" applyAlignment="1">
      <alignment horizontal="center" vertical="center"/>
    </xf>
    <xf numFmtId="183" fontId="10" fillId="5" borderId="6" xfId="0" applyNumberFormat="1" applyFont="1" applyFill="1" applyBorder="1" applyAlignment="1">
      <alignment horizontal="center" vertical="center"/>
    </xf>
    <xf numFmtId="178" fontId="32" fillId="0" borderId="31" xfId="0" applyNumberFormat="1" applyFont="1" applyBorder="1" applyAlignment="1">
      <alignment horizontal="right" vertical="center"/>
    </xf>
    <xf numFmtId="177" fontId="35" fillId="12" borderId="6" xfId="0" applyNumberFormat="1" applyFont="1" applyFill="1" applyBorder="1" applyAlignment="1">
      <alignment horizontal="center" vertical="center" wrapText="1"/>
    </xf>
    <xf numFmtId="43" fontId="19" fillId="0" borderId="6" xfId="5" applyFont="1" applyFill="1" applyBorder="1" applyAlignment="1">
      <alignment horizontal="right" vertical="center"/>
    </xf>
    <xf numFmtId="4" fontId="0" fillId="0" borderId="0" xfId="0" applyNumberFormat="1">
      <alignment vertical="center"/>
    </xf>
    <xf numFmtId="10" fontId="20" fillId="0" borderId="31" xfId="0" applyNumberFormat="1" applyFont="1" applyBorder="1">
      <alignment vertical="center"/>
    </xf>
    <xf numFmtId="183" fontId="0" fillId="0" borderId="14" xfId="0" applyNumberFormat="1" applyBorder="1">
      <alignment vertical="center"/>
    </xf>
    <xf numFmtId="176" fontId="22" fillId="0" borderId="6" xfId="0" applyNumberFormat="1" applyFont="1" applyBorder="1" applyAlignment="1">
      <alignment horizontal="center" vertical="center"/>
    </xf>
    <xf numFmtId="183" fontId="0" fillId="0" borderId="6" xfId="0" applyNumberFormat="1" applyBorder="1">
      <alignment vertical="center"/>
    </xf>
    <xf numFmtId="0" fontId="44" fillId="11" borderId="6" xfId="2" applyFont="1" applyFill="1" applyBorder="1" applyAlignment="1">
      <alignment vertical="center"/>
    </xf>
    <xf numFmtId="43" fontId="43" fillId="11" borderId="6" xfId="2" applyNumberFormat="1" applyFont="1" applyFill="1" applyBorder="1" applyAlignment="1">
      <alignment horizontal="right" vertical="center"/>
    </xf>
    <xf numFmtId="43" fontId="29" fillId="0" borderId="6" xfId="0" applyNumberFormat="1" applyFont="1" applyBorder="1" applyAlignment="1">
      <alignment horizontal="right" vertical="center"/>
    </xf>
    <xf numFmtId="0" fontId="46" fillId="11" borderId="6" xfId="2" applyFont="1" applyFill="1" applyBorder="1" applyAlignment="1">
      <alignment vertical="center"/>
    </xf>
    <xf numFmtId="43" fontId="45" fillId="11" borderId="6" xfId="2" applyNumberFormat="1" applyFont="1" applyFill="1" applyBorder="1" applyAlignment="1">
      <alignment horizontal="right" vertical="center"/>
    </xf>
    <xf numFmtId="0" fontId="19" fillId="16" borderId="6" xfId="0" applyFont="1" applyFill="1" applyBorder="1">
      <alignment vertical="center"/>
    </xf>
    <xf numFmtId="43" fontId="19" fillId="16" borderId="6" xfId="0" applyNumberFormat="1" applyFont="1" applyFill="1" applyBorder="1" applyAlignment="1">
      <alignment horizontal="right" vertical="center"/>
    </xf>
    <xf numFmtId="0" fontId="10" fillId="16" borderId="6" xfId="0" applyFont="1" applyFill="1" applyBorder="1">
      <alignment vertical="center"/>
    </xf>
    <xf numFmtId="43" fontId="10" fillId="16" borderId="6" xfId="0" applyNumberFormat="1" applyFont="1" applyFill="1" applyBorder="1" applyAlignment="1">
      <alignment horizontal="right" vertical="center"/>
    </xf>
    <xf numFmtId="43" fontId="0" fillId="0" borderId="6" xfId="0" applyNumberFormat="1" applyBorder="1" applyAlignment="1">
      <alignment horizontal="right" vertical="center"/>
    </xf>
    <xf numFmtId="183" fontId="26" fillId="0" borderId="0" xfId="2" applyNumberFormat="1" applyFont="1"/>
    <xf numFmtId="10" fontId="19" fillId="11" borderId="49" xfId="2" applyNumberFormat="1" applyFont="1" applyFill="1" applyBorder="1" applyAlignment="1">
      <alignment horizontal="center" vertical="center" wrapText="1"/>
    </xf>
    <xf numFmtId="183" fontId="41" fillId="14" borderId="49" xfId="2" applyNumberFormat="1" applyFont="1" applyFill="1" applyBorder="1" applyAlignment="1">
      <alignment horizontal="center" vertical="center" wrapText="1"/>
    </xf>
    <xf numFmtId="10" fontId="20" fillId="0" borderId="6" xfId="3" applyNumberFormat="1" applyFont="1" applyFill="1" applyBorder="1" applyAlignment="1">
      <alignment horizontal="right" vertical="center"/>
    </xf>
    <xf numFmtId="183" fontId="20" fillId="0" borderId="6" xfId="2" applyNumberFormat="1" applyFont="1" applyBorder="1" applyAlignment="1">
      <alignment horizontal="left" vertical="center"/>
    </xf>
    <xf numFmtId="43" fontId="47" fillId="8" borderId="6" xfId="1" applyFont="1" applyFill="1" applyBorder="1" applyAlignment="1">
      <alignment horizontal="left" vertical="center"/>
    </xf>
    <xf numFmtId="10" fontId="47" fillId="8" borderId="6" xfId="3" applyNumberFormat="1" applyFont="1" applyFill="1" applyBorder="1" applyAlignment="1">
      <alignment horizontal="right" vertical="center"/>
    </xf>
    <xf numFmtId="10" fontId="47" fillId="8" borderId="6" xfId="2" applyNumberFormat="1" applyFont="1" applyFill="1" applyBorder="1" applyAlignment="1">
      <alignment horizontal="right" vertical="center"/>
    </xf>
    <xf numFmtId="9" fontId="47" fillId="8" borderId="6" xfId="2" applyNumberFormat="1" applyFont="1" applyFill="1" applyBorder="1" applyAlignment="1">
      <alignment horizontal="center" vertical="center"/>
    </xf>
    <xf numFmtId="183" fontId="47" fillId="8" borderId="6" xfId="2" applyNumberFormat="1" applyFont="1" applyFill="1" applyBorder="1" applyAlignment="1">
      <alignment horizontal="left" vertical="center"/>
    </xf>
    <xf numFmtId="9" fontId="47" fillId="8" borderId="26" xfId="2" applyNumberFormat="1" applyFont="1" applyFill="1" applyBorder="1" applyAlignment="1">
      <alignment horizontal="left" vertical="center"/>
    </xf>
    <xf numFmtId="43" fontId="20" fillId="13" borderId="6" xfId="3" applyFont="1" applyFill="1" applyBorder="1" applyAlignment="1">
      <alignment horizontal="left" vertical="center"/>
    </xf>
    <xf numFmtId="10" fontId="20" fillId="4" borderId="6" xfId="3" applyNumberFormat="1" applyFont="1" applyFill="1" applyBorder="1" applyAlignment="1">
      <alignment horizontal="right" vertical="center"/>
    </xf>
    <xf numFmtId="10" fontId="20" fillId="5" borderId="6" xfId="2" applyNumberFormat="1" applyFont="1" applyFill="1" applyBorder="1" applyAlignment="1">
      <alignment horizontal="right" vertical="center"/>
    </xf>
    <xf numFmtId="9" fontId="20" fillId="5" borderId="6" xfId="2" applyNumberFormat="1" applyFont="1" applyFill="1" applyBorder="1" applyAlignment="1">
      <alignment horizontal="center" vertical="center"/>
    </xf>
    <xf numFmtId="183" fontId="20" fillId="5" borderId="6" xfId="2" applyNumberFormat="1" applyFont="1" applyFill="1" applyBorder="1" applyAlignment="1">
      <alignment horizontal="left" vertical="center"/>
    </xf>
    <xf numFmtId="9" fontId="20" fillId="5" borderId="26" xfId="2" applyNumberFormat="1" applyFont="1" applyFill="1" applyBorder="1" applyAlignment="1">
      <alignment horizontal="left" vertical="center"/>
    </xf>
    <xf numFmtId="43" fontId="20" fillId="12" borderId="6" xfId="1" applyFont="1" applyFill="1" applyBorder="1" applyAlignment="1">
      <alignment horizontal="left" vertical="center"/>
    </xf>
    <xf numFmtId="43" fontId="18" fillId="12" borderId="6" xfId="1" applyFont="1" applyFill="1" applyBorder="1" applyAlignment="1">
      <alignment vertical="center"/>
    </xf>
    <xf numFmtId="10" fontId="20" fillId="12" borderId="6" xfId="3" applyNumberFormat="1" applyFont="1" applyFill="1" applyBorder="1" applyAlignment="1">
      <alignment horizontal="right" vertical="center"/>
    </xf>
    <xf numFmtId="10" fontId="20" fillId="12" borderId="6" xfId="2" applyNumberFormat="1" applyFont="1" applyFill="1" applyBorder="1" applyAlignment="1">
      <alignment horizontal="right" vertical="center"/>
    </xf>
    <xf numFmtId="9" fontId="20" fillId="12" borderId="6" xfId="2" applyNumberFormat="1" applyFont="1" applyFill="1" applyBorder="1" applyAlignment="1">
      <alignment horizontal="center" vertical="center"/>
    </xf>
    <xf numFmtId="183" fontId="20" fillId="12" borderId="6" xfId="2" applyNumberFormat="1" applyFont="1" applyFill="1" applyBorder="1" applyAlignment="1">
      <alignment horizontal="left" vertical="center"/>
    </xf>
    <xf numFmtId="10" fontId="20" fillId="5" borderId="6" xfId="3" applyNumberFormat="1" applyFont="1" applyFill="1" applyBorder="1" applyAlignment="1">
      <alignment horizontal="right" vertical="center"/>
    </xf>
    <xf numFmtId="43" fontId="18" fillId="5" borderId="6" xfId="1" applyFont="1" applyFill="1" applyBorder="1" applyAlignment="1">
      <alignment vertical="center"/>
    </xf>
    <xf numFmtId="183" fontId="20" fillId="15" borderId="6" xfId="2" applyNumberFormat="1" applyFont="1" applyFill="1" applyBorder="1" applyAlignment="1">
      <alignment horizontal="left" vertical="center"/>
    </xf>
    <xf numFmtId="10" fontId="20" fillId="11" borderId="6" xfId="3" applyNumberFormat="1" applyFont="1" applyFill="1" applyBorder="1" applyAlignment="1">
      <alignment horizontal="right" vertical="center"/>
    </xf>
    <xf numFmtId="183" fontId="20" fillId="11" borderId="6" xfId="2" applyNumberFormat="1" applyFont="1" applyFill="1" applyBorder="1" applyAlignment="1">
      <alignment horizontal="left" vertical="center"/>
    </xf>
    <xf numFmtId="10" fontId="26" fillId="15" borderId="6" xfId="2" applyNumberFormat="1" applyFont="1" applyFill="1" applyBorder="1" applyAlignment="1">
      <alignment horizontal="right" vertical="center"/>
    </xf>
    <xf numFmtId="0" fontId="10" fillId="11" borderId="6" xfId="0" applyFont="1" applyFill="1" applyBorder="1" applyAlignment="1">
      <alignment horizontal="left" vertical="center" wrapText="1"/>
    </xf>
    <xf numFmtId="0" fontId="10" fillId="11" borderId="6" xfId="0" applyFont="1" applyFill="1" applyBorder="1" applyAlignment="1">
      <alignment horizontal="center" vertical="center" wrapText="1"/>
    </xf>
    <xf numFmtId="183" fontId="18" fillId="11" borderId="0" xfId="2" applyNumberFormat="1" applyFont="1" applyFill="1"/>
    <xf numFmtId="179" fontId="0" fillId="0" borderId="0" xfId="0" applyNumberFormat="1">
      <alignment vertical="center"/>
    </xf>
    <xf numFmtId="0" fontId="17" fillId="0" borderId="0" xfId="0" applyFont="1">
      <alignment vertical="center"/>
    </xf>
    <xf numFmtId="179" fontId="20" fillId="0" borderId="6" xfId="0" applyNumberFormat="1" applyFont="1" applyBorder="1">
      <alignment vertical="center"/>
    </xf>
    <xf numFmtId="179" fontId="17" fillId="12" borderId="6" xfId="0" applyNumberFormat="1" applyFont="1" applyFill="1" applyBorder="1">
      <alignment vertical="center"/>
    </xf>
    <xf numFmtId="179" fontId="17" fillId="2" borderId="6" xfId="0" applyNumberFormat="1" applyFont="1" applyFill="1" applyBorder="1">
      <alignment vertical="center"/>
    </xf>
    <xf numFmtId="179" fontId="0" fillId="2" borderId="6" xfId="0" applyNumberFormat="1" applyFill="1" applyBorder="1">
      <alignment vertical="center"/>
    </xf>
    <xf numFmtId="10" fontId="0" fillId="0" borderId="0" xfId="0" applyNumberFormat="1" applyAlignment="1">
      <alignment horizontal="right" vertical="center"/>
    </xf>
    <xf numFmtId="0" fontId="0" fillId="0" borderId="0" xfId="0" applyAlignment="1">
      <alignment horizontal="right" vertical="center"/>
    </xf>
    <xf numFmtId="10" fontId="10" fillId="0" borderId="2" xfId="0" applyNumberFormat="1" applyFont="1" applyBorder="1" applyAlignment="1">
      <alignment horizontal="right" vertical="center"/>
    </xf>
    <xf numFmtId="177" fontId="10" fillId="0" borderId="2" xfId="0" applyNumberFormat="1" applyFont="1" applyBorder="1" applyAlignment="1">
      <alignment horizontal="right" vertical="center"/>
    </xf>
    <xf numFmtId="43" fontId="48" fillId="8" borderId="6" xfId="0" applyNumberFormat="1" applyFont="1" applyFill="1" applyBorder="1" applyAlignment="1">
      <alignment horizontal="right" vertical="center"/>
    </xf>
    <xf numFmtId="10" fontId="48" fillId="8" borderId="6" xfId="0" applyNumberFormat="1" applyFont="1" applyFill="1" applyBorder="1" applyAlignment="1">
      <alignment horizontal="right" vertical="center"/>
    </xf>
    <xf numFmtId="177" fontId="48" fillId="8" borderId="6" xfId="0" applyNumberFormat="1" applyFont="1" applyFill="1" applyBorder="1" applyAlignment="1">
      <alignment horizontal="right" vertical="center"/>
    </xf>
    <xf numFmtId="10" fontId="10" fillId="0" borderId="6" xfId="0" applyNumberFormat="1" applyFont="1" applyBorder="1" applyAlignment="1">
      <alignment horizontal="right" vertical="center"/>
    </xf>
    <xf numFmtId="177" fontId="10" fillId="0" borderId="6" xfId="0" applyNumberFormat="1" applyFont="1" applyBorder="1" applyAlignment="1">
      <alignment horizontal="right" vertical="center"/>
    </xf>
    <xf numFmtId="43" fontId="10" fillId="10" borderId="6" xfId="0" applyNumberFormat="1" applyFont="1" applyFill="1" applyBorder="1" applyAlignment="1">
      <alignment horizontal="right" vertical="center"/>
    </xf>
    <xf numFmtId="10" fontId="10" fillId="10" borderId="6" xfId="0" applyNumberFormat="1" applyFont="1" applyFill="1" applyBorder="1" applyAlignment="1">
      <alignment horizontal="right" vertical="center"/>
    </xf>
    <xf numFmtId="177" fontId="10" fillId="10" borderId="6" xfId="0" applyNumberFormat="1" applyFont="1" applyFill="1" applyBorder="1" applyAlignment="1">
      <alignment horizontal="right" vertical="center"/>
    </xf>
    <xf numFmtId="10" fontId="10" fillId="5" borderId="6" xfId="0" applyNumberFormat="1" applyFont="1" applyFill="1" applyBorder="1" applyAlignment="1">
      <alignment horizontal="right" vertical="center"/>
    </xf>
    <xf numFmtId="10" fontId="19" fillId="4" borderId="16" xfId="0" applyNumberFormat="1" applyFont="1" applyFill="1" applyBorder="1">
      <alignment vertical="center"/>
    </xf>
    <xf numFmtId="43" fontId="10" fillId="12" borderId="6" xfId="0" applyNumberFormat="1" applyFont="1" applyFill="1" applyBorder="1" applyAlignment="1">
      <alignment horizontal="right" vertical="center"/>
    </xf>
    <xf numFmtId="10" fontId="10" fillId="12" borderId="6" xfId="0" applyNumberFormat="1" applyFont="1" applyFill="1" applyBorder="1" applyAlignment="1">
      <alignment horizontal="right" vertical="center"/>
    </xf>
    <xf numFmtId="177" fontId="10" fillId="12" borderId="6" xfId="0" applyNumberFormat="1" applyFont="1" applyFill="1" applyBorder="1" applyAlignment="1">
      <alignment horizontal="right" vertical="center"/>
    </xf>
    <xf numFmtId="43" fontId="10" fillId="10" borderId="6" xfId="1" applyFont="1" applyFill="1" applyBorder="1" applyAlignment="1">
      <alignment horizontal="right" vertical="center"/>
    </xf>
    <xf numFmtId="10" fontId="19" fillId="10" borderId="16" xfId="0" applyNumberFormat="1" applyFont="1" applyFill="1" applyBorder="1">
      <alignment vertical="center"/>
    </xf>
    <xf numFmtId="43" fontId="0" fillId="9" borderId="6" xfId="0" applyNumberFormat="1" applyFill="1" applyBorder="1" applyAlignment="1">
      <alignment horizontal="right" vertical="center"/>
    </xf>
    <xf numFmtId="43" fontId="35" fillId="0" borderId="6" xfId="0" applyNumberFormat="1" applyFont="1" applyBorder="1" applyAlignment="1">
      <alignment horizontal="right" vertical="center" wrapText="1"/>
    </xf>
    <xf numFmtId="177" fontId="35" fillId="12" borderId="6" xfId="0" applyNumberFormat="1" applyFont="1" applyFill="1" applyBorder="1" applyAlignment="1">
      <alignment horizontal="right" vertical="center" wrapText="1"/>
    </xf>
    <xf numFmtId="0" fontId="19" fillId="0" borderId="16" xfId="0" applyFont="1" applyBorder="1">
      <alignment vertical="center"/>
    </xf>
    <xf numFmtId="10" fontId="10" fillId="13" borderId="6" xfId="0" applyNumberFormat="1" applyFont="1" applyFill="1" applyBorder="1" applyAlignment="1">
      <alignment horizontal="right" vertical="center"/>
    </xf>
    <xf numFmtId="177" fontId="10" fillId="4" borderId="6" xfId="0" applyNumberFormat="1" applyFont="1" applyFill="1" applyBorder="1" applyAlignment="1">
      <alignment horizontal="right" vertical="center"/>
    </xf>
    <xf numFmtId="10" fontId="10" fillId="4" borderId="6" xfId="0" applyNumberFormat="1" applyFont="1" applyFill="1" applyBorder="1" applyAlignment="1">
      <alignment horizontal="right" vertical="center"/>
    </xf>
    <xf numFmtId="10" fontId="0" fillId="4" borderId="6" xfId="0" applyNumberFormat="1" applyFill="1" applyBorder="1" applyAlignment="1">
      <alignment horizontal="right" vertical="center"/>
    </xf>
    <xf numFmtId="10" fontId="35" fillId="0" borderId="6" xfId="0" applyNumberFormat="1" applyFont="1" applyBorder="1" applyAlignment="1">
      <alignment horizontal="right" vertical="center"/>
    </xf>
    <xf numFmtId="10" fontId="10" fillId="4" borderId="4" xfId="0" applyNumberFormat="1" applyFont="1" applyFill="1" applyBorder="1" applyAlignment="1">
      <alignment horizontal="right" vertical="center"/>
    </xf>
    <xf numFmtId="177" fontId="10" fillId="4" borderId="4" xfId="0" applyNumberFormat="1" applyFont="1" applyFill="1" applyBorder="1" applyAlignment="1">
      <alignment horizontal="right" vertical="center"/>
    </xf>
    <xf numFmtId="43" fontId="10" fillId="0" borderId="31" xfId="0" applyNumberFormat="1" applyFont="1" applyBorder="1" applyAlignment="1">
      <alignment horizontal="right" vertical="center"/>
    </xf>
    <xf numFmtId="10" fontId="0" fillId="0" borderId="31" xfId="0" applyNumberFormat="1" applyBorder="1" applyAlignment="1">
      <alignment horizontal="right" vertical="center"/>
    </xf>
    <xf numFmtId="181" fontId="32" fillId="0" borderId="31" xfId="0" applyNumberFormat="1" applyFont="1" applyBorder="1" applyAlignment="1">
      <alignment horizontal="right" vertical="center" wrapText="1"/>
    </xf>
    <xf numFmtId="179" fontId="0" fillId="11" borderId="31" xfId="0" applyNumberFormat="1" applyFill="1" applyBorder="1" applyAlignment="1">
      <alignment horizontal="right" vertical="center"/>
    </xf>
    <xf numFmtId="179" fontId="0" fillId="0" borderId="31" xfId="0" applyNumberFormat="1" applyBorder="1" applyAlignment="1">
      <alignment horizontal="right" vertical="center"/>
    </xf>
    <xf numFmtId="0" fontId="22" fillId="0" borderId="14" xfId="0" applyFont="1" applyBorder="1" applyAlignment="1">
      <alignment horizontal="right" vertical="center"/>
    </xf>
    <xf numFmtId="10" fontId="22" fillId="0" borderId="14" xfId="0" applyNumberFormat="1" applyFont="1" applyBorder="1" applyAlignment="1">
      <alignment horizontal="right" vertical="center"/>
    </xf>
    <xf numFmtId="10" fontId="0" fillId="0" borderId="14" xfId="0" applyNumberFormat="1" applyBorder="1" applyAlignment="1">
      <alignment horizontal="right" vertical="center"/>
    </xf>
    <xf numFmtId="10" fontId="22" fillId="0" borderId="6" xfId="0" applyNumberFormat="1" applyFont="1" applyBorder="1" applyAlignment="1">
      <alignment horizontal="right" vertical="center"/>
    </xf>
    <xf numFmtId="0" fontId="22" fillId="0" borderId="6" xfId="0" applyFont="1" applyBorder="1" applyAlignment="1">
      <alignment horizontal="right" vertical="center"/>
    </xf>
    <xf numFmtId="10" fontId="0" fillId="0" borderId="6" xfId="0" applyNumberFormat="1" applyBorder="1" applyAlignment="1">
      <alignment horizontal="right" vertical="center"/>
    </xf>
    <xf numFmtId="0" fontId="22" fillId="11" borderId="6" xfId="0" applyFont="1" applyFill="1" applyBorder="1" applyAlignment="1">
      <alignment horizontal="right" vertical="center"/>
    </xf>
    <xf numFmtId="43" fontId="22" fillId="0" borderId="6" xfId="0" applyNumberFormat="1" applyFont="1" applyBorder="1" applyAlignment="1">
      <alignment horizontal="right" vertical="center"/>
    </xf>
    <xf numFmtId="182" fontId="22" fillId="0" borderId="6" xfId="0" applyNumberFormat="1" applyFont="1" applyBorder="1" applyAlignment="1">
      <alignment horizontal="right" vertical="center"/>
    </xf>
    <xf numFmtId="0" fontId="0" fillId="0" borderId="6" xfId="0" applyBorder="1" applyAlignment="1">
      <alignment horizontal="right" vertical="center"/>
    </xf>
    <xf numFmtId="43" fontId="20" fillId="13" borderId="6" xfId="1" applyFont="1" applyFill="1" applyBorder="1" applyAlignment="1">
      <alignment horizontal="left" vertical="center"/>
    </xf>
    <xf numFmtId="9" fontId="20" fillId="5" borderId="6" xfId="2" applyNumberFormat="1" applyFont="1" applyFill="1" applyBorder="1" applyAlignment="1">
      <alignment horizontal="left" vertical="center"/>
    </xf>
    <xf numFmtId="0" fontId="38" fillId="12" borderId="6" xfId="2" applyFont="1" applyFill="1" applyBorder="1" applyAlignment="1">
      <alignment horizontal="left" vertical="center"/>
    </xf>
    <xf numFmtId="0" fontId="42" fillId="12" borderId="6" xfId="2" applyFont="1" applyFill="1" applyBorder="1" applyAlignment="1">
      <alignment horizontal="left" vertical="center"/>
    </xf>
    <xf numFmtId="184" fontId="38" fillId="12" borderId="6" xfId="2" applyNumberFormat="1" applyFont="1" applyFill="1" applyBorder="1" applyAlignment="1">
      <alignment horizontal="left" vertical="center"/>
    </xf>
    <xf numFmtId="0" fontId="41" fillId="0" borderId="6" xfId="2" applyFont="1" applyBorder="1" applyAlignment="1">
      <alignment horizontal="center" vertical="center" wrapText="1"/>
    </xf>
    <xf numFmtId="0" fontId="40" fillId="0" borderId="0" xfId="2" applyFont="1" applyAlignment="1">
      <alignment horizontal="center" vertical="center"/>
    </xf>
    <xf numFmtId="0" fontId="19" fillId="0" borderId="0" xfId="2" applyFont="1" applyAlignment="1">
      <alignment horizontal="center" vertical="center"/>
    </xf>
    <xf numFmtId="10" fontId="40" fillId="0" borderId="0" xfId="2" applyNumberFormat="1" applyFont="1" applyAlignment="1">
      <alignment horizontal="right" vertical="center"/>
    </xf>
    <xf numFmtId="0" fontId="19" fillId="0" borderId="6" xfId="2" applyFont="1" applyBorder="1" applyAlignment="1">
      <alignment horizontal="center" vertical="center" wrapText="1"/>
    </xf>
    <xf numFmtId="10" fontId="41" fillId="0" borderId="6" xfId="2" applyNumberFormat="1" applyFont="1" applyBorder="1" applyAlignment="1">
      <alignment horizontal="right" vertical="center" wrapText="1"/>
    </xf>
    <xf numFmtId="0" fontId="41" fillId="0" borderId="7" xfId="2" applyFont="1" applyBorder="1" applyAlignment="1">
      <alignment horizontal="center" vertical="center" wrapText="1"/>
    </xf>
    <xf numFmtId="0" fontId="41" fillId="0" borderId="6" xfId="2" applyFont="1" applyBorder="1" applyAlignment="1">
      <alignment horizontal="center" vertical="center"/>
    </xf>
    <xf numFmtId="0" fontId="19" fillId="16" borderId="26" xfId="0" applyFont="1" applyFill="1" applyBorder="1" applyAlignment="1">
      <alignment horizontal="center" vertical="center"/>
    </xf>
    <xf numFmtId="0" fontId="19" fillId="16" borderId="10" xfId="0" applyFont="1" applyFill="1" applyBorder="1" applyAlignment="1">
      <alignment horizontal="center" vertical="center"/>
    </xf>
    <xf numFmtId="0" fontId="19" fillId="16" borderId="5" xfId="0" applyFont="1" applyFill="1" applyBorder="1" applyAlignment="1">
      <alignment horizontal="center" vertical="center"/>
    </xf>
    <xf numFmtId="0" fontId="10" fillId="16" borderId="26" xfId="0" applyFont="1" applyFill="1" applyBorder="1" applyAlignment="1">
      <alignment horizontal="center" vertical="center"/>
    </xf>
    <xf numFmtId="0" fontId="10" fillId="16" borderId="10" xfId="0" applyFont="1" applyFill="1" applyBorder="1" applyAlignment="1">
      <alignment horizontal="center" vertical="center"/>
    </xf>
    <xf numFmtId="0" fontId="10" fillId="16" borderId="5" xfId="0" applyFont="1" applyFill="1" applyBorder="1" applyAlignment="1">
      <alignment horizontal="center" vertical="center"/>
    </xf>
    <xf numFmtId="0" fontId="0" fillId="0" borderId="26" xfId="0" applyBorder="1" applyAlignment="1">
      <alignment horizontal="center" vertical="center"/>
    </xf>
    <xf numFmtId="0" fontId="0" fillId="0" borderId="10" xfId="0" applyBorder="1" applyAlignment="1">
      <alignment horizontal="center" vertical="center"/>
    </xf>
    <xf numFmtId="0" fontId="0" fillId="0" borderId="5" xfId="0" applyBorder="1" applyAlignment="1">
      <alignment horizontal="center" vertical="center"/>
    </xf>
    <xf numFmtId="0" fontId="33" fillId="0" borderId="7" xfId="0" applyFont="1" applyBorder="1" applyAlignment="1">
      <alignment horizontal="center" vertical="center" textRotation="255" wrapText="1"/>
    </xf>
    <xf numFmtId="0" fontId="33" fillId="0" borderId="4" xfId="0" applyFont="1" applyBorder="1" applyAlignment="1">
      <alignment horizontal="center" vertical="center" textRotation="255"/>
    </xf>
    <xf numFmtId="0" fontId="33" fillId="0" borderId="7" xfId="0" applyFont="1" applyBorder="1" applyAlignment="1">
      <alignment horizontal="center" vertical="center" textRotation="255"/>
    </xf>
    <xf numFmtId="0" fontId="36" fillId="0" borderId="4" xfId="0" applyFont="1" applyBorder="1" applyAlignment="1">
      <alignment horizontal="center" vertical="center" textRotation="255"/>
    </xf>
    <xf numFmtId="0" fontId="36" fillId="0" borderId="7" xfId="0" applyFont="1" applyBorder="1" applyAlignment="1">
      <alignment horizontal="center" vertical="center" textRotation="255"/>
    </xf>
    <xf numFmtId="0" fontId="36" fillId="0" borderId="14" xfId="0" applyFont="1" applyBorder="1" applyAlignment="1">
      <alignment horizontal="center" vertical="center" textRotation="255"/>
    </xf>
    <xf numFmtId="0" fontId="38" fillId="0" borderId="31" xfId="0" applyFont="1" applyBorder="1" applyAlignment="1">
      <alignment horizontal="center" vertical="center" textRotation="255"/>
    </xf>
    <xf numFmtId="0" fontId="20" fillId="0" borderId="31" xfId="0" applyFont="1" applyBorder="1" applyAlignment="1">
      <alignment horizontal="center" vertical="center" textRotation="255"/>
    </xf>
    <xf numFmtId="0" fontId="10"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4" xfId="0" applyFont="1" applyBorder="1" applyAlignment="1">
      <alignment horizontal="center" vertical="center" wrapText="1"/>
    </xf>
    <xf numFmtId="0" fontId="33" fillId="0" borderId="15" xfId="0" applyFont="1" applyBorder="1" applyAlignment="1">
      <alignment horizontal="center" vertical="center" textRotation="255" wrapText="1"/>
    </xf>
    <xf numFmtId="0" fontId="33" fillId="0" borderId="51" xfId="0" applyFont="1" applyBorder="1" applyAlignment="1">
      <alignment horizontal="center" vertical="center" textRotation="255" wrapText="1"/>
    </xf>
    <xf numFmtId="0" fontId="33" fillId="0" borderId="8" xfId="0" applyFont="1" applyBorder="1" applyAlignment="1">
      <alignment horizontal="center" vertical="center" textRotation="255" wrapText="1"/>
    </xf>
    <xf numFmtId="0" fontId="33" fillId="0" borderId="17" xfId="0" applyFont="1" applyBorder="1" applyAlignment="1">
      <alignment horizontal="center" vertical="center" textRotation="255" wrapText="1"/>
    </xf>
    <xf numFmtId="0" fontId="33" fillId="0" borderId="0" xfId="0" applyFont="1" applyAlignment="1">
      <alignment horizontal="center" vertical="center" textRotation="255" wrapText="1"/>
    </xf>
    <xf numFmtId="0" fontId="33" fillId="0" borderId="1" xfId="0" applyFont="1" applyBorder="1" applyAlignment="1">
      <alignment horizontal="center" vertical="center" textRotation="255" wrapText="1"/>
    </xf>
    <xf numFmtId="0" fontId="22" fillId="0" borderId="50" xfId="0" applyFont="1" applyBorder="1" applyAlignment="1">
      <alignment horizontal="center" vertical="center"/>
    </xf>
    <xf numFmtId="0" fontId="22" fillId="0" borderId="54" xfId="0" applyFont="1" applyBorder="1" applyAlignment="1">
      <alignment horizontal="center" vertical="center"/>
    </xf>
    <xf numFmtId="0" fontId="22" fillId="0" borderId="54" xfId="0" applyFont="1" applyBorder="1" applyAlignment="1">
      <alignment horizontal="right" vertical="center"/>
    </xf>
    <xf numFmtId="0" fontId="19" fillId="0" borderId="54" xfId="0" applyFont="1" applyBorder="1" applyAlignment="1">
      <alignment horizontal="right" vertical="center"/>
    </xf>
    <xf numFmtId="10" fontId="22" fillId="0" borderId="9" xfId="0" applyNumberFormat="1" applyFont="1" applyBorder="1" applyAlignment="1">
      <alignment horizontal="right" vertical="center"/>
    </xf>
    <xf numFmtId="0" fontId="19" fillId="11" borderId="26" xfId="0" applyFont="1" applyFill="1" applyBorder="1" applyAlignment="1">
      <alignment horizontal="center" vertical="center"/>
    </xf>
    <xf numFmtId="0" fontId="19" fillId="11" borderId="10" xfId="0" applyFont="1" applyFill="1" applyBorder="1" applyAlignment="1">
      <alignment horizontal="center" vertical="center"/>
    </xf>
    <xf numFmtId="0" fontId="19" fillId="11" borderId="5" xfId="0" applyFont="1" applyFill="1" applyBorder="1" applyAlignment="1">
      <alignment horizontal="center" vertical="center"/>
    </xf>
    <xf numFmtId="0" fontId="10" fillId="0" borderId="26" xfId="0" applyFont="1" applyBorder="1" applyAlignment="1">
      <alignment horizontal="center" vertical="center"/>
    </xf>
    <xf numFmtId="0" fontId="10" fillId="0" borderId="10" xfId="0" applyFont="1" applyBorder="1" applyAlignment="1">
      <alignment horizontal="center" vertical="center"/>
    </xf>
    <xf numFmtId="0" fontId="10" fillId="0" borderId="5" xfId="0" applyFont="1" applyBorder="1" applyAlignment="1">
      <alignment horizontal="center" vertical="center"/>
    </xf>
    <xf numFmtId="0" fontId="43" fillId="11" borderId="26" xfId="2" applyFont="1" applyFill="1" applyBorder="1" applyAlignment="1">
      <alignment horizontal="center" vertical="center"/>
    </xf>
    <xf numFmtId="0" fontId="43" fillId="11" borderId="10" xfId="2" applyFont="1" applyFill="1" applyBorder="1" applyAlignment="1">
      <alignment horizontal="center" vertical="center"/>
    </xf>
    <xf numFmtId="0" fontId="43" fillId="11" borderId="5" xfId="2" applyFont="1" applyFill="1" applyBorder="1" applyAlignment="1">
      <alignment horizontal="center" vertical="center"/>
    </xf>
    <xf numFmtId="0" fontId="45" fillId="11" borderId="26" xfId="2" applyFont="1" applyFill="1" applyBorder="1" applyAlignment="1">
      <alignment horizontal="center" vertical="center"/>
    </xf>
    <xf numFmtId="0" fontId="45" fillId="11" borderId="10" xfId="2" applyFont="1" applyFill="1" applyBorder="1" applyAlignment="1">
      <alignment horizontal="center" vertical="center"/>
    </xf>
    <xf numFmtId="0" fontId="45" fillId="11" borderId="5" xfId="2" applyFont="1" applyFill="1" applyBorder="1" applyAlignment="1">
      <alignment horizontal="center" vertical="center"/>
    </xf>
    <xf numFmtId="0" fontId="32" fillId="0" borderId="31" xfId="0" applyFont="1" applyBorder="1" applyAlignment="1">
      <alignment horizontal="center" vertical="center" wrapText="1"/>
    </xf>
    <xf numFmtId="0" fontId="10" fillId="0" borderId="31" xfId="0" applyFont="1" applyBorder="1" applyAlignment="1">
      <alignment horizontal="center" vertical="center" wrapText="1"/>
    </xf>
    <xf numFmtId="0" fontId="32" fillId="0" borderId="52" xfId="0" applyFont="1" applyBorder="1" applyAlignment="1">
      <alignment horizontal="center" vertical="center" wrapText="1"/>
    </xf>
    <xf numFmtId="0" fontId="32" fillId="0" borderId="53" xfId="0" applyFont="1" applyBorder="1" applyAlignment="1">
      <alignment horizontal="center" vertical="center" wrapText="1"/>
    </xf>
    <xf numFmtId="0" fontId="32" fillId="0" borderId="31" xfId="0" applyFont="1" applyBorder="1" applyAlignment="1">
      <alignment horizontal="center" vertical="center"/>
    </xf>
    <xf numFmtId="0" fontId="10" fillId="0" borderId="31" xfId="0" applyFont="1" applyBorder="1" applyAlignment="1">
      <alignment horizontal="center" vertical="center"/>
    </xf>
    <xf numFmtId="0" fontId="19" fillId="0" borderId="31" xfId="0" applyFont="1" applyBorder="1" applyAlignment="1">
      <alignment horizontal="center" vertical="center"/>
    </xf>
    <xf numFmtId="0" fontId="19" fillId="0" borderId="31" xfId="0" applyFont="1" applyBorder="1" applyAlignment="1">
      <alignment horizontal="center" vertical="center" wrapText="1"/>
    </xf>
    <xf numFmtId="0" fontId="32" fillId="0" borderId="26" xfId="0" applyFont="1" applyBorder="1" applyAlignment="1">
      <alignment horizontal="center" vertical="center"/>
    </xf>
    <xf numFmtId="0" fontId="32" fillId="0" borderId="5" xfId="0" applyFont="1" applyBorder="1" applyAlignment="1">
      <alignment horizontal="center" vertical="center"/>
    </xf>
    <xf numFmtId="0" fontId="10" fillId="0" borderId="15" xfId="0" applyFont="1" applyBorder="1" applyAlignment="1">
      <alignment horizontal="center" vertical="center" wrapText="1"/>
    </xf>
    <xf numFmtId="0" fontId="10" fillId="0" borderId="8" xfId="0" applyFont="1" applyBorder="1" applyAlignment="1">
      <alignment horizontal="center" vertical="center" wrapText="1"/>
    </xf>
    <xf numFmtId="0" fontId="10" fillId="13" borderId="6" xfId="0" applyFont="1" applyFill="1" applyBorder="1" applyAlignment="1">
      <alignment horizontal="center" vertical="center"/>
    </xf>
    <xf numFmtId="0" fontId="10" fillId="13" borderId="26" xfId="0" applyFont="1" applyFill="1" applyBorder="1" applyAlignment="1">
      <alignment horizontal="center" vertical="center"/>
    </xf>
    <xf numFmtId="0" fontId="10" fillId="13" borderId="10" xfId="0" applyFont="1" applyFill="1" applyBorder="1" applyAlignment="1">
      <alignment horizontal="center" vertical="center"/>
    </xf>
    <xf numFmtId="0" fontId="10" fillId="13" borderId="5" xfId="0" applyFont="1" applyFill="1" applyBorder="1" applyAlignment="1">
      <alignment horizontal="center" vertical="center"/>
    </xf>
    <xf numFmtId="0" fontId="32" fillId="0" borderId="26" xfId="0" applyFont="1" applyBorder="1" applyAlignment="1">
      <alignment horizontal="center" vertical="center" wrapText="1"/>
    </xf>
    <xf numFmtId="0" fontId="32" fillId="0" borderId="5"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5" xfId="0" applyFont="1" applyBorder="1" applyAlignment="1">
      <alignment horizontal="center" vertical="center" wrapText="1"/>
    </xf>
    <xf numFmtId="180" fontId="10" fillId="0" borderId="26" xfId="0" applyNumberFormat="1" applyFont="1" applyBorder="1" applyAlignment="1">
      <alignment horizontal="center" vertical="center" wrapText="1" readingOrder="1"/>
    </xf>
    <xf numFmtId="180" fontId="10" fillId="0" borderId="5" xfId="0" applyNumberFormat="1" applyFont="1" applyBorder="1" applyAlignment="1">
      <alignment horizontal="center" vertical="center" wrapText="1" readingOrder="1"/>
    </xf>
    <xf numFmtId="0" fontId="10" fillId="4" borderId="26"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5" xfId="0" applyFont="1" applyFill="1" applyBorder="1" applyAlignment="1">
      <alignment horizontal="center" vertical="center" wrapText="1"/>
    </xf>
    <xf numFmtId="180" fontId="32" fillId="4" borderId="26" xfId="0" applyNumberFormat="1" applyFont="1" applyFill="1" applyBorder="1" applyAlignment="1">
      <alignment horizontal="center" vertical="center" wrapText="1" readingOrder="1"/>
    </xf>
    <xf numFmtId="180" fontId="10" fillId="4" borderId="5" xfId="0" applyNumberFormat="1" applyFont="1" applyFill="1" applyBorder="1" applyAlignment="1">
      <alignment horizontal="center" vertical="center" wrapText="1" readingOrder="1"/>
    </xf>
    <xf numFmtId="180" fontId="10" fillId="0" borderId="15" xfId="0" applyNumberFormat="1" applyFont="1" applyBorder="1" applyAlignment="1">
      <alignment horizontal="center" vertical="center" wrapText="1" readingOrder="1"/>
    </xf>
    <xf numFmtId="180" fontId="10" fillId="0" borderId="8" xfId="0" applyNumberFormat="1" applyFont="1" applyBorder="1" applyAlignment="1">
      <alignment horizontal="center" vertical="center" wrapText="1" readingOrder="1"/>
    </xf>
    <xf numFmtId="180" fontId="32" fillId="0" borderId="26" xfId="0" applyNumberFormat="1" applyFont="1" applyBorder="1" applyAlignment="1">
      <alignment horizontal="center" vertical="center" wrapText="1" readingOrder="1"/>
    </xf>
    <xf numFmtId="180" fontId="32" fillId="0" borderId="5" xfId="0" applyNumberFormat="1" applyFont="1" applyBorder="1" applyAlignment="1">
      <alignment horizontal="center" vertical="center" wrapText="1" readingOrder="1"/>
    </xf>
    <xf numFmtId="43" fontId="30" fillId="0" borderId="0" xfId="0" applyNumberFormat="1" applyFont="1" applyAlignment="1">
      <alignment horizontal="center" vertical="center" wrapText="1"/>
    </xf>
    <xf numFmtId="43" fontId="30" fillId="0" borderId="0" xfId="0" applyNumberFormat="1" applyFont="1" applyAlignment="1">
      <alignment horizontal="right" vertical="center" wrapText="1"/>
    </xf>
    <xf numFmtId="10" fontId="30" fillId="0" borderId="0" xfId="0" applyNumberFormat="1" applyFont="1" applyAlignment="1">
      <alignment horizontal="right" vertical="center" wrapText="1"/>
    </xf>
    <xf numFmtId="43" fontId="31" fillId="0" borderId="0" xfId="0" applyNumberFormat="1" applyFont="1" applyAlignment="1">
      <alignment horizontal="center" vertical="center" wrapText="1"/>
    </xf>
    <xf numFmtId="0" fontId="10" fillId="0" borderId="2" xfId="0" applyFont="1" applyBorder="1" applyAlignment="1">
      <alignment horizontal="center" vertical="center"/>
    </xf>
    <xf numFmtId="0" fontId="24" fillId="0" borderId="26" xfId="0" applyFont="1" applyBorder="1" applyAlignment="1">
      <alignment horizontal="center" vertical="center"/>
    </xf>
    <xf numFmtId="0" fontId="24" fillId="0" borderId="10" xfId="0" applyFont="1" applyBorder="1" applyAlignment="1">
      <alignment horizontal="center" vertical="center"/>
    </xf>
    <xf numFmtId="179" fontId="24" fillId="0" borderId="10" xfId="0" applyNumberFormat="1" applyFont="1" applyBorder="1" applyAlignment="1">
      <alignment horizontal="center" vertical="center"/>
    </xf>
    <xf numFmtId="179" fontId="24" fillId="0" borderId="5" xfId="0" applyNumberFormat="1" applyFont="1" applyBorder="1" applyAlignment="1">
      <alignment horizontal="center" vertical="center"/>
    </xf>
    <xf numFmtId="0" fontId="25" fillId="0" borderId="26" xfId="0" applyFont="1" applyBorder="1" applyAlignment="1">
      <alignment horizontal="center" vertical="center"/>
    </xf>
    <xf numFmtId="0" fontId="25" fillId="0" borderId="10" xfId="0" applyFont="1" applyBorder="1" applyAlignment="1">
      <alignment horizontal="center" vertical="center"/>
    </xf>
    <xf numFmtId="179" fontId="25" fillId="0" borderId="10" xfId="0" applyNumberFormat="1" applyFont="1" applyBorder="1" applyAlignment="1">
      <alignment horizontal="center" vertical="center"/>
    </xf>
    <xf numFmtId="179" fontId="25" fillId="0" borderId="5" xfId="0" applyNumberFormat="1" applyFont="1" applyBorder="1" applyAlignment="1">
      <alignment horizontal="center" vertical="center"/>
    </xf>
    <xf numFmtId="0" fontId="20" fillId="2" borderId="6" xfId="0" applyFont="1" applyFill="1" applyBorder="1" applyAlignment="1">
      <alignment horizontal="center" vertical="center"/>
    </xf>
    <xf numFmtId="179" fontId="20" fillId="2" borderId="26" xfId="0" applyNumberFormat="1" applyFont="1" applyFill="1" applyBorder="1" applyAlignment="1">
      <alignment horizontal="center" vertical="center"/>
    </xf>
    <xf numFmtId="179" fontId="20" fillId="2" borderId="5" xfId="0" applyNumberFormat="1" applyFont="1" applyFill="1" applyBorder="1" applyAlignment="1">
      <alignment horizontal="center" vertical="center"/>
    </xf>
    <xf numFmtId="0" fontId="20" fillId="0" borderId="4" xfId="0" applyFont="1" applyBorder="1" applyAlignment="1">
      <alignment horizontal="center" vertical="center"/>
    </xf>
    <xf numFmtId="0" fontId="20" fillId="0" borderId="14" xfId="0" applyFont="1" applyBorder="1">
      <alignment vertical="center"/>
    </xf>
    <xf numFmtId="183" fontId="40" fillId="0" borderId="0" xfId="2" applyNumberFormat="1" applyFont="1" applyAlignment="1">
      <alignment horizontal="center" vertical="center"/>
    </xf>
    <xf numFmtId="183" fontId="41" fillId="0" borderId="6" xfId="2" applyNumberFormat="1" applyFont="1" applyBorder="1" applyAlignment="1">
      <alignment horizontal="center" vertical="center" wrapText="1"/>
    </xf>
    <xf numFmtId="0" fontId="22" fillId="0" borderId="9" xfId="0" applyFont="1" applyBorder="1" applyAlignment="1">
      <alignment horizontal="center" vertical="center"/>
    </xf>
    <xf numFmtId="183" fontId="30" fillId="0" borderId="0" xfId="0" applyNumberFormat="1" applyFont="1" applyAlignment="1">
      <alignment horizontal="center" vertical="center" wrapText="1"/>
    </xf>
    <xf numFmtId="0" fontId="24" fillId="0" borderId="5" xfId="0" applyFont="1" applyBorder="1" applyAlignment="1">
      <alignment horizontal="center" vertical="center"/>
    </xf>
    <xf numFmtId="0" fontId="25" fillId="0" borderId="5" xfId="0" applyFont="1" applyBorder="1" applyAlignment="1">
      <alignment horizontal="center" vertical="center"/>
    </xf>
    <xf numFmtId="0" fontId="20" fillId="2" borderId="26" xfId="0" applyFont="1" applyFill="1" applyBorder="1" applyAlignment="1">
      <alignment horizontal="center" vertical="center"/>
    </xf>
    <xf numFmtId="0" fontId="20" fillId="2" borderId="5" xfId="0" applyFont="1" applyFill="1" applyBorder="1" applyAlignment="1">
      <alignment horizontal="center" vertical="center"/>
    </xf>
    <xf numFmtId="0" fontId="6" fillId="0" borderId="27" xfId="4" applyFont="1" applyBorder="1" applyAlignment="1">
      <alignment horizontal="center" vertical="center" wrapText="1"/>
    </xf>
    <xf numFmtId="0" fontId="6" fillId="0" borderId="29" xfId="4" applyFont="1" applyBorder="1" applyAlignment="1">
      <alignment horizontal="center" vertical="center" wrapText="1"/>
    </xf>
    <xf numFmtId="0" fontId="6" fillId="0" borderId="37" xfId="4" applyFont="1" applyBorder="1" applyAlignment="1">
      <alignment horizontal="center" vertical="center" wrapText="1"/>
    </xf>
    <xf numFmtId="0" fontId="5" fillId="0" borderId="4" xfId="4" applyFont="1" applyBorder="1" applyAlignment="1">
      <alignment horizontal="left" vertical="center"/>
    </xf>
    <xf numFmtId="0" fontId="5" fillId="0" borderId="14" xfId="4" applyFont="1" applyBorder="1" applyAlignment="1">
      <alignment horizontal="left" vertical="center"/>
    </xf>
    <xf numFmtId="0" fontId="6" fillId="0" borderId="45" xfId="4" applyFont="1" applyBorder="1" applyAlignment="1">
      <alignment horizontal="center" vertical="center" wrapText="1"/>
    </xf>
    <xf numFmtId="0" fontId="6" fillId="0" borderId="25" xfId="4" applyFont="1" applyBorder="1" applyAlignment="1">
      <alignment horizontal="center" vertical="center" wrapText="1"/>
    </xf>
    <xf numFmtId="10" fontId="6" fillId="0" borderId="25" xfId="4" applyNumberFormat="1" applyFont="1" applyBorder="1" applyAlignment="1">
      <alignment horizontal="center" vertical="center" wrapText="1"/>
    </xf>
    <xf numFmtId="0" fontId="6" fillId="0" borderId="46" xfId="4" applyFont="1" applyBorder="1" applyAlignment="1">
      <alignment horizontal="center" vertical="center" wrapText="1"/>
    </xf>
    <xf numFmtId="0" fontId="5" fillId="0" borderId="4" xfId="4" applyFont="1" applyBorder="1" applyAlignment="1">
      <alignment horizontal="center" vertical="center"/>
    </xf>
    <xf numFmtId="0" fontId="5" fillId="0" borderId="14" xfId="4" applyFont="1" applyBorder="1" applyAlignment="1">
      <alignment horizontal="center" vertical="center"/>
    </xf>
    <xf numFmtId="0" fontId="6" fillId="0" borderId="32" xfId="4" applyFont="1" applyBorder="1" applyAlignment="1">
      <alignment horizontal="center" vertical="center" wrapText="1"/>
    </xf>
    <xf numFmtId="0" fontId="9" fillId="0" borderId="40" xfId="4" applyFont="1" applyBorder="1" applyAlignment="1">
      <alignment horizontal="center" vertical="center" wrapText="1"/>
    </xf>
    <xf numFmtId="0" fontId="9" fillId="0" borderId="41" xfId="4" applyFont="1" applyBorder="1" applyAlignment="1">
      <alignment horizontal="center" vertical="center" wrapText="1"/>
    </xf>
    <xf numFmtId="0" fontId="9" fillId="0" borderId="42" xfId="4" applyFont="1" applyBorder="1" applyAlignment="1">
      <alignment horizontal="center" vertical="center" wrapText="1"/>
    </xf>
    <xf numFmtId="0" fontId="6" fillId="3" borderId="29" xfId="4" applyFont="1" applyFill="1" applyBorder="1" applyAlignment="1">
      <alignment horizontal="center" vertical="center" wrapText="1"/>
    </xf>
    <xf numFmtId="0" fontId="8" fillId="0" borderId="6" xfId="4" applyFont="1" applyBorder="1" applyAlignment="1">
      <alignment horizontal="center" vertical="center"/>
    </xf>
    <xf numFmtId="10" fontId="8" fillId="0" borderId="6" xfId="4" applyNumberFormat="1" applyFont="1" applyBorder="1" applyAlignment="1">
      <alignment horizontal="center" vertical="center"/>
    </xf>
    <xf numFmtId="0" fontId="8" fillId="0" borderId="6" xfId="4" applyFont="1" applyBorder="1" applyAlignment="1">
      <alignment horizontal="right" vertical="center"/>
    </xf>
    <xf numFmtId="0" fontId="6" fillId="4" borderId="33" xfId="4" applyFont="1" applyFill="1" applyBorder="1" applyAlignment="1">
      <alignment horizontal="center" vertical="center"/>
    </xf>
    <xf numFmtId="0" fontId="6" fillId="4" borderId="34" xfId="4" applyFont="1" applyFill="1" applyBorder="1" applyAlignment="1">
      <alignment horizontal="left" vertical="center"/>
    </xf>
    <xf numFmtId="0" fontId="5" fillId="0" borderId="6" xfId="4" applyFont="1" applyBorder="1" applyAlignment="1">
      <alignment horizontal="center" vertical="center"/>
    </xf>
    <xf numFmtId="0" fontId="7" fillId="0" borderId="26" xfId="4" applyFont="1" applyBorder="1" applyAlignment="1">
      <alignment horizontal="center" vertical="center"/>
    </xf>
    <xf numFmtId="0" fontId="7" fillId="0" borderId="10" xfId="4" applyFont="1" applyBorder="1" applyAlignment="1">
      <alignment horizontal="center" vertical="center"/>
    </xf>
    <xf numFmtId="10" fontId="7" fillId="0" borderId="10" xfId="4" applyNumberFormat="1" applyFont="1" applyBorder="1" applyAlignment="1">
      <alignment horizontal="center" vertical="center"/>
    </xf>
    <xf numFmtId="176" fontId="7" fillId="0" borderId="10" xfId="4" applyNumberFormat="1" applyFont="1" applyBorder="1" applyAlignment="1">
      <alignment horizontal="center" vertical="center"/>
    </xf>
    <xf numFmtId="0" fontId="5" fillId="0" borderId="26" xfId="4" applyFont="1" applyBorder="1" applyAlignment="1">
      <alignment horizontal="center" vertical="center"/>
    </xf>
    <xf numFmtId="0" fontId="5" fillId="0" borderId="10" xfId="4" applyFont="1" applyBorder="1" applyAlignment="1">
      <alignment horizontal="center" vertical="center"/>
    </xf>
    <xf numFmtId="10" fontId="5" fillId="0" borderId="5" xfId="4" applyNumberFormat="1" applyFont="1" applyBorder="1" applyAlignment="1">
      <alignment horizontal="center" vertical="center"/>
    </xf>
    <xf numFmtId="10" fontId="5" fillId="0" borderId="6" xfId="4" applyNumberFormat="1" applyFont="1" applyBorder="1" applyAlignment="1">
      <alignment horizontal="center" vertical="center"/>
    </xf>
    <xf numFmtId="176" fontId="5" fillId="0" borderId="6" xfId="4" applyNumberFormat="1" applyFont="1" applyBorder="1" applyAlignment="1">
      <alignment horizontal="center" vertical="center"/>
    </xf>
    <xf numFmtId="0" fontId="1" fillId="0" borderId="15" xfId="0" applyFont="1" applyBorder="1" applyAlignment="1">
      <alignment horizontal="left" vertical="center"/>
    </xf>
    <xf numFmtId="0" fontId="1" fillId="0" borderId="8" xfId="0" applyFont="1" applyBorder="1" applyAlignment="1">
      <alignment horizontal="left" vertical="center"/>
    </xf>
    <xf numFmtId="0" fontId="1" fillId="0" borderId="17" xfId="0" applyFont="1" applyBorder="1" applyAlignment="1">
      <alignment horizontal="left" vertical="center"/>
    </xf>
    <xf numFmtId="0" fontId="1" fillId="0" borderId="1" xfId="0" applyFont="1" applyBorder="1" applyAlignment="1">
      <alignment horizontal="left" vertical="center"/>
    </xf>
    <xf numFmtId="0" fontId="1" fillId="0" borderId="19" xfId="0" applyFont="1" applyBorder="1" applyAlignment="1">
      <alignment horizontal="left" vertical="center"/>
    </xf>
    <xf numFmtId="0" fontId="1" fillId="0" borderId="20" xfId="0" applyFont="1" applyBorder="1" applyAlignment="1">
      <alignment horizontal="left" vertical="center"/>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1" fillId="0" borderId="6" xfId="0" applyFont="1" applyBorder="1" applyAlignment="1">
      <alignment horizontal="left" vertical="center"/>
    </xf>
    <xf numFmtId="0" fontId="1" fillId="0" borderId="2" xfId="0" applyFont="1" applyBorder="1" applyAlignment="1">
      <alignment horizontal="left" vertical="center"/>
    </xf>
    <xf numFmtId="0" fontId="1" fillId="0" borderId="4" xfId="0" applyFont="1" applyBorder="1" applyAlignment="1">
      <alignment horizontal="center" vertical="center"/>
    </xf>
    <xf numFmtId="0" fontId="1" fillId="0" borderId="7"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xf>
    <xf numFmtId="0" fontId="1" fillId="0" borderId="8" xfId="0" applyFont="1" applyBorder="1" applyAlignment="1">
      <alignment horizontal="center" vertical="center"/>
    </xf>
    <xf numFmtId="0" fontId="1" fillId="0" borderId="17" xfId="0" applyFont="1" applyBorder="1" applyAlignment="1">
      <alignment horizontal="center" vertical="center"/>
    </xf>
    <xf numFmtId="0" fontId="1" fillId="0" borderId="1"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cellXfs>
  <cellStyles count="10">
    <cellStyle name="常规" xfId="0" builtinId="0"/>
    <cellStyle name="常规 100" xfId="9" xr:uid="{00000000-0005-0000-0000-000038000000}"/>
    <cellStyle name="常规 2" xfId="2" xr:uid="{00000000-0005-0000-0000-000031000000}"/>
    <cellStyle name="常规 2 2" xfId="4" xr:uid="{00000000-0005-0000-0000-000033000000}"/>
    <cellStyle name="常规 3" xfId="7" xr:uid="{00000000-0005-0000-0000-000036000000}"/>
    <cellStyle name="千位分隔" xfId="1" builtinId="3"/>
    <cellStyle name="千位分隔 2" xfId="3" xr:uid="{00000000-0005-0000-0000-000032000000}"/>
    <cellStyle name="千位分隔 2 2" xfId="8" xr:uid="{00000000-0005-0000-0000-000037000000}"/>
    <cellStyle name="千位分隔 3" xfId="5" xr:uid="{00000000-0005-0000-0000-000034000000}"/>
    <cellStyle name="千位分隔 4" xfId="6" xr:uid="{00000000-0005-0000-0000-000035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workbookViewId="0">
      <selection activeCell="E10" sqref="E10"/>
    </sheetView>
  </sheetViews>
  <sheetFormatPr defaultColWidth="9.375" defaultRowHeight="26.1" customHeight="1"/>
  <cols>
    <col min="1" max="1" width="19.625" style="411" customWidth="1"/>
    <col min="2" max="2" width="4.875" style="412" customWidth="1"/>
    <col min="3" max="3" width="20" style="413" customWidth="1"/>
    <col min="4" max="4" width="24" style="414" customWidth="1"/>
    <col min="5" max="5" width="18.375" style="414" customWidth="1"/>
    <col min="6" max="6" width="21" style="410" customWidth="1"/>
    <col min="7" max="7" width="16.625" style="410" customWidth="1"/>
    <col min="8" max="8" width="12.625" style="415" customWidth="1"/>
    <col min="9" max="9" width="16.125" style="410" bestFit="1" customWidth="1"/>
    <col min="10" max="10" width="14.75" style="410" customWidth="1"/>
    <col min="11" max="11" width="15.625" style="410" customWidth="1"/>
    <col min="12" max="12" width="15.375" style="410" customWidth="1"/>
    <col min="13" max="13" width="15.25" style="410" customWidth="1"/>
    <col min="14" max="14" width="19" style="410" hidden="1" customWidth="1"/>
    <col min="15" max="16384" width="9.375" style="410"/>
  </cols>
  <sheetData>
    <row r="1" spans="1:14" s="409" customFormat="1" ht="39.950000000000003" customHeight="1">
      <c r="A1" s="618" t="s">
        <v>0</v>
      </c>
      <c r="B1" s="618"/>
      <c r="C1" s="619"/>
      <c r="D1" s="618"/>
      <c r="E1" s="618"/>
      <c r="F1" s="618"/>
      <c r="G1" s="618"/>
      <c r="H1" s="620"/>
      <c r="I1" s="618"/>
      <c r="J1" s="618"/>
      <c r="K1" s="618"/>
      <c r="L1" s="618"/>
      <c r="M1" s="618"/>
    </row>
    <row r="2" spans="1:14" s="409" customFormat="1" ht="42" customHeight="1">
      <c r="A2" s="416" t="s">
        <v>1</v>
      </c>
      <c r="B2" s="417" t="s">
        <v>2</v>
      </c>
      <c r="C2" s="418" t="s">
        <v>3</v>
      </c>
      <c r="D2" s="419" t="s">
        <v>4</v>
      </c>
      <c r="E2" s="419" t="s">
        <v>5</v>
      </c>
      <c r="F2" s="420" t="s">
        <v>6</v>
      </c>
      <c r="G2" s="421" t="s">
        <v>7</v>
      </c>
      <c r="H2" s="422" t="s">
        <v>8</v>
      </c>
      <c r="I2" s="423" t="s">
        <v>9</v>
      </c>
      <c r="J2" s="424" t="s">
        <v>8</v>
      </c>
      <c r="K2" s="424" t="s">
        <v>10</v>
      </c>
      <c r="L2" s="425" t="s">
        <v>11</v>
      </c>
      <c r="M2" s="426" t="s">
        <v>12</v>
      </c>
      <c r="N2" s="427" t="s">
        <v>13</v>
      </c>
    </row>
    <row r="3" spans="1:14" s="409" customFormat="1" ht="26.1" customHeight="1">
      <c r="A3" s="623" t="s">
        <v>14</v>
      </c>
      <c r="B3" s="428" t="s">
        <v>15</v>
      </c>
      <c r="C3" s="429" t="s">
        <v>16</v>
      </c>
      <c r="D3" s="430" t="s">
        <v>17</v>
      </c>
      <c r="E3" s="431"/>
      <c r="F3" s="431">
        <v>448156</v>
      </c>
      <c r="G3" s="431">
        <v>448156</v>
      </c>
      <c r="H3" s="432"/>
      <c r="I3" s="431">
        <v>462886.05</v>
      </c>
      <c r="J3" s="433">
        <f>I3/$I$6</f>
        <v>2.0896166713867511E-2</v>
      </c>
      <c r="K3" s="431">
        <f>I3-G3</f>
        <v>14730.05</v>
      </c>
      <c r="L3" s="434">
        <f>I3/G3</f>
        <v>1.0328681307401899</v>
      </c>
      <c r="M3" s="435">
        <f>I3/F3</f>
        <v>1.0328681307401899</v>
      </c>
      <c r="N3" s="436" t="e">
        <f t="shared" ref="N3:N11" si="0">F3/E3</f>
        <v>#DIV/0!</v>
      </c>
    </row>
    <row r="4" spans="1:14" s="409" customFormat="1" ht="26.1" customHeight="1">
      <c r="A4" s="623"/>
      <c r="B4" s="428" t="s">
        <v>18</v>
      </c>
      <c r="C4" s="429" t="s">
        <v>19</v>
      </c>
      <c r="D4" s="430" t="s">
        <v>17</v>
      </c>
      <c r="E4" s="431"/>
      <c r="F4" s="431">
        <v>538396.76</v>
      </c>
      <c r="G4" s="431">
        <v>538396.76</v>
      </c>
      <c r="H4" s="432"/>
      <c r="I4" s="431">
        <v>552400</v>
      </c>
      <c r="J4" s="433">
        <f>I4/$I$6</f>
        <v>2.4937114637048178E-2</v>
      </c>
      <c r="K4" s="431">
        <f t="shared" ref="K4:K10" si="1">I4-G4</f>
        <v>14003.24</v>
      </c>
      <c r="L4" s="434">
        <f t="shared" ref="L4:L10" si="2">I4/G4</f>
        <v>1.0260091461174501</v>
      </c>
      <c r="M4" s="435">
        <f t="shared" ref="M4:M10" si="3">I4/F4</f>
        <v>1.0260091461174501</v>
      </c>
      <c r="N4" s="436" t="e">
        <f t="shared" si="0"/>
        <v>#DIV/0!</v>
      </c>
    </row>
    <row r="5" spans="1:14" s="409" customFormat="1" ht="26.1" customHeight="1">
      <c r="A5" s="623"/>
      <c r="B5" s="428" t="s">
        <v>20</v>
      </c>
      <c r="C5" s="429" t="s">
        <v>21</v>
      </c>
      <c r="D5" s="430" t="s">
        <v>17</v>
      </c>
      <c r="E5" s="431"/>
      <c r="F5" s="431">
        <v>20174817.169805825</v>
      </c>
      <c r="G5" s="431">
        <v>20184917.169805825</v>
      </c>
      <c r="H5" s="432"/>
      <c r="I5" s="431">
        <v>21136434.710000001</v>
      </c>
      <c r="J5" s="433">
        <f>I5/$I$6</f>
        <v>0.95416671864908431</v>
      </c>
      <c r="K5" s="431">
        <f t="shared" si="1"/>
        <v>951517.54019417614</v>
      </c>
      <c r="L5" s="434">
        <f t="shared" si="2"/>
        <v>1.0471400269909221</v>
      </c>
      <c r="M5" s="435">
        <f t="shared" si="3"/>
        <v>1.0476642505406868</v>
      </c>
      <c r="N5" s="436" t="e">
        <f t="shared" si="0"/>
        <v>#DIV/0!</v>
      </c>
    </row>
    <row r="6" spans="1:14" s="409" customFormat="1" ht="26.1" customHeight="1">
      <c r="A6" s="437"/>
      <c r="B6" s="438" t="s">
        <v>22</v>
      </c>
      <c r="C6" s="439" t="s">
        <v>23</v>
      </c>
      <c r="D6" s="440" t="s">
        <v>24</v>
      </c>
      <c r="E6" s="540"/>
      <c r="F6" s="453">
        <f>SUM(F3:F5)</f>
        <v>21161369.929805826</v>
      </c>
      <c r="G6" s="612">
        <f>SUM(G3:G5)</f>
        <v>21171469.929805826</v>
      </c>
      <c r="H6" s="442"/>
      <c r="I6" s="441">
        <f>SUM(I3:I5)</f>
        <v>22151720.760000002</v>
      </c>
      <c r="J6" s="543"/>
      <c r="K6" s="441">
        <f t="shared" si="1"/>
        <v>980250.83019417524</v>
      </c>
      <c r="L6" s="613">
        <f t="shared" si="2"/>
        <v>1.0463005560522818</v>
      </c>
      <c r="M6" s="545">
        <f t="shared" si="3"/>
        <v>1.046799939393303</v>
      </c>
      <c r="N6" s="436" t="e">
        <f t="shared" si="0"/>
        <v>#DIV/0!</v>
      </c>
    </row>
    <row r="7" spans="1:14" s="409" customFormat="1" ht="26.1" customHeight="1">
      <c r="A7" s="617" t="s">
        <v>25</v>
      </c>
      <c r="B7" s="445" t="s">
        <v>26</v>
      </c>
      <c r="C7" s="429" t="s">
        <v>16</v>
      </c>
      <c r="D7" s="430" t="s">
        <v>17</v>
      </c>
      <c r="E7" s="431"/>
      <c r="F7" s="446">
        <v>125700</v>
      </c>
      <c r="G7" s="446">
        <v>125700</v>
      </c>
      <c r="H7" s="432"/>
      <c r="I7" s="431">
        <v>126500</v>
      </c>
      <c r="J7" s="433">
        <f>I7/$I$6</f>
        <v>5.710617309171967E-3</v>
      </c>
      <c r="K7" s="431">
        <f t="shared" si="1"/>
        <v>800</v>
      </c>
      <c r="L7" s="434">
        <f t="shared" si="2"/>
        <v>1.0063643595863201</v>
      </c>
      <c r="M7" s="435">
        <f t="shared" si="3"/>
        <v>1.0063643595863201</v>
      </c>
      <c r="N7" s="436" t="e">
        <f t="shared" si="0"/>
        <v>#DIV/0!</v>
      </c>
    </row>
    <row r="8" spans="1:14" s="409" customFormat="1" ht="26.1" customHeight="1">
      <c r="A8" s="617"/>
      <c r="B8" s="445" t="s">
        <v>27</v>
      </c>
      <c r="C8" s="429" t="s">
        <v>19</v>
      </c>
      <c r="D8" s="430" t="s">
        <v>17</v>
      </c>
      <c r="E8" s="431"/>
      <c r="F8" s="446">
        <v>420800</v>
      </c>
      <c r="G8" s="446">
        <v>420800</v>
      </c>
      <c r="H8" s="432"/>
      <c r="I8" s="431">
        <v>396605</v>
      </c>
      <c r="J8" s="433">
        <f>I8/$I$6</f>
        <v>1.7904026702799586E-2</v>
      </c>
      <c r="K8" s="431">
        <f t="shared" si="1"/>
        <v>-24195</v>
      </c>
      <c r="L8" s="434">
        <f t="shared" si="2"/>
        <v>0.94250237642585599</v>
      </c>
      <c r="M8" s="435">
        <f t="shared" si="3"/>
        <v>0.94250237642585599</v>
      </c>
      <c r="N8" s="436" t="e">
        <f t="shared" si="0"/>
        <v>#DIV/0!</v>
      </c>
    </row>
    <row r="9" spans="1:14" s="409" customFormat="1" ht="26.1" customHeight="1">
      <c r="A9" s="617"/>
      <c r="B9" s="445" t="s">
        <v>28</v>
      </c>
      <c r="C9" s="429" t="s">
        <v>21</v>
      </c>
      <c r="D9" s="430" t="s">
        <v>17</v>
      </c>
      <c r="E9" s="431"/>
      <c r="F9" s="446">
        <v>15315532.5</v>
      </c>
      <c r="G9" s="446">
        <v>15315532.5</v>
      </c>
      <c r="H9" s="432"/>
      <c r="I9" s="431">
        <v>14276056.779999999</v>
      </c>
      <c r="J9" s="433">
        <f>I9/$I$6</f>
        <v>0.64446716960150041</v>
      </c>
      <c r="K9" s="431">
        <f t="shared" si="1"/>
        <v>-1039475.7200000007</v>
      </c>
      <c r="L9" s="434">
        <f t="shared" si="2"/>
        <v>0.93212931251329323</v>
      </c>
      <c r="M9" s="435">
        <f t="shared" si="3"/>
        <v>0.93212931251329323</v>
      </c>
      <c r="N9" s="436" t="e">
        <f t="shared" si="0"/>
        <v>#DIV/0!</v>
      </c>
    </row>
    <row r="10" spans="1:14" s="409" customFormat="1" ht="26.1" customHeight="1">
      <c r="A10" s="617"/>
      <c r="B10" s="445" t="s">
        <v>29</v>
      </c>
      <c r="C10" s="448" t="s">
        <v>30</v>
      </c>
      <c r="D10" s="449" t="s">
        <v>31</v>
      </c>
      <c r="E10" s="450"/>
      <c r="F10" s="450">
        <f>SUM(F7:F9)</f>
        <v>15862032.5</v>
      </c>
      <c r="G10" s="553">
        <f>SUM(G7:G9)</f>
        <v>15862032.5</v>
      </c>
      <c r="H10" s="542"/>
      <c r="I10" s="441">
        <f>SUM(I7:I9)</f>
        <v>14799161.779999999</v>
      </c>
      <c r="J10" s="543"/>
      <c r="K10" s="441">
        <f t="shared" si="1"/>
        <v>-1062870.7200000007</v>
      </c>
      <c r="L10" s="613">
        <f t="shared" si="2"/>
        <v>0.93299277882579046</v>
      </c>
      <c r="M10" s="545">
        <f t="shared" si="3"/>
        <v>0.93299277882579046</v>
      </c>
      <c r="N10" s="436" t="e">
        <f t="shared" si="0"/>
        <v>#DIV/0!</v>
      </c>
    </row>
    <row r="11" spans="1:14" s="409" customFormat="1" ht="26.1" customHeight="1">
      <c r="A11" s="451" t="s">
        <v>32</v>
      </c>
      <c r="B11" s="438" t="s">
        <v>33</v>
      </c>
      <c r="C11" s="439" t="s">
        <v>34</v>
      </c>
      <c r="D11" s="452" t="s">
        <v>35</v>
      </c>
      <c r="E11" s="453"/>
      <c r="F11" s="455">
        <f>F6-F10</f>
        <v>5299337.4298058264</v>
      </c>
      <c r="G11" s="455">
        <f>G6-G10</f>
        <v>5309437.4298058264</v>
      </c>
      <c r="H11" s="454"/>
      <c r="I11" s="455">
        <f>I6-I10</f>
        <v>7352558.9800000023</v>
      </c>
      <c r="J11" s="456"/>
      <c r="K11" s="455"/>
      <c r="L11" s="457"/>
      <c r="M11" s="458"/>
      <c r="N11" s="436" t="e">
        <f t="shared" si="0"/>
        <v>#DIV/0!</v>
      </c>
    </row>
    <row r="12" spans="1:14" s="409" customFormat="1" ht="26.1" customHeight="1">
      <c r="A12" s="624" t="s">
        <v>36</v>
      </c>
      <c r="B12" s="428" t="s">
        <v>37</v>
      </c>
      <c r="C12" s="429" t="s">
        <v>38</v>
      </c>
      <c r="D12" s="430" t="s">
        <v>17</v>
      </c>
      <c r="E12" s="431"/>
      <c r="F12" s="459">
        <v>53899</v>
      </c>
      <c r="G12" s="459">
        <v>53899</v>
      </c>
      <c r="H12" s="460"/>
      <c r="I12" s="459">
        <v>53397.5</v>
      </c>
      <c r="J12" s="461"/>
      <c r="K12" s="459">
        <f>I12-G12</f>
        <v>-501.5</v>
      </c>
      <c r="L12" s="462"/>
      <c r="M12" s="462"/>
    </row>
    <row r="13" spans="1:14" s="409" customFormat="1" ht="26.1" customHeight="1">
      <c r="A13" s="624"/>
      <c r="B13" s="428" t="s">
        <v>39</v>
      </c>
      <c r="C13" s="429" t="s">
        <v>40</v>
      </c>
      <c r="D13" s="430" t="s">
        <v>17</v>
      </c>
      <c r="E13" s="431"/>
      <c r="F13" s="459">
        <v>5959</v>
      </c>
      <c r="G13" s="459">
        <v>5959</v>
      </c>
      <c r="H13" s="460"/>
      <c r="I13" s="459">
        <v>5318.5</v>
      </c>
      <c r="J13" s="461"/>
      <c r="K13" s="459">
        <f>I13-G13</f>
        <v>-640.5</v>
      </c>
      <c r="L13" s="462"/>
      <c r="M13" s="462"/>
    </row>
    <row r="14" spans="1:14" s="409" customFormat="1" ht="26.1" customHeight="1">
      <c r="A14" s="624"/>
      <c r="B14" s="428" t="s">
        <v>41</v>
      </c>
      <c r="C14" s="429" t="s">
        <v>42</v>
      </c>
      <c r="D14" s="463" t="s">
        <v>43</v>
      </c>
      <c r="E14" s="431"/>
      <c r="F14" s="459">
        <f>SUM(F12:F13)</f>
        <v>59858</v>
      </c>
      <c r="G14" s="459">
        <f>SUM(G12:G13)</f>
        <v>59858</v>
      </c>
      <c r="H14" s="460"/>
      <c r="I14" s="459">
        <f>SUM(I12:I13)</f>
        <v>58716</v>
      </c>
      <c r="J14" s="461"/>
      <c r="K14" s="459">
        <f>I14-G14</f>
        <v>-1142</v>
      </c>
      <c r="L14" s="462"/>
      <c r="M14" s="462"/>
    </row>
    <row r="15" spans="1:14" s="409" customFormat="1" ht="26.1" customHeight="1">
      <c r="A15" s="464" t="s">
        <v>44</v>
      </c>
      <c r="B15" s="438" t="s">
        <v>45</v>
      </c>
      <c r="C15" s="439" t="s">
        <v>46</v>
      </c>
      <c r="D15" s="452" t="s">
        <v>47</v>
      </c>
      <c r="E15" s="465"/>
      <c r="F15" s="465">
        <f>F11/F14</f>
        <v>88.531815794143242</v>
      </c>
      <c r="G15" s="465">
        <f>G11/G14</f>
        <v>88.700548461455881</v>
      </c>
      <c r="H15" s="465" t="e">
        <f>H11/H14</f>
        <v>#DIV/0!</v>
      </c>
      <c r="I15" s="465">
        <f>I11/I14</f>
        <v>125.22240922406162</v>
      </c>
      <c r="J15" s="466"/>
      <c r="K15" s="459">
        <f>I15-G15</f>
        <v>36.521860762605741</v>
      </c>
      <c r="L15" s="457"/>
      <c r="M15" s="457"/>
    </row>
    <row r="16" spans="1:14" s="409" customFormat="1" ht="26.1" customHeight="1">
      <c r="A16" s="617" t="s">
        <v>48</v>
      </c>
      <c r="B16" s="467" t="s">
        <v>49</v>
      </c>
      <c r="C16" s="429" t="s">
        <v>50</v>
      </c>
      <c r="D16" s="430" t="s">
        <v>17</v>
      </c>
      <c r="E16" s="468"/>
      <c r="F16" s="469">
        <v>293</v>
      </c>
      <c r="G16" s="459">
        <v>293</v>
      </c>
      <c r="H16" s="460"/>
      <c r="I16" s="459"/>
      <c r="J16" s="461"/>
      <c r="K16" s="459"/>
      <c r="L16" s="462"/>
      <c r="M16" s="462"/>
    </row>
    <row r="17" spans="1:13" s="409" customFormat="1" ht="26.1" hidden="1" customHeight="1">
      <c r="A17" s="617"/>
      <c r="B17" s="428" t="s">
        <v>51</v>
      </c>
      <c r="C17" s="429"/>
      <c r="D17" s="430" t="s">
        <v>52</v>
      </c>
      <c r="E17" s="430"/>
      <c r="F17" s="459"/>
      <c r="G17" s="459"/>
      <c r="H17" s="460"/>
      <c r="I17" s="459"/>
      <c r="J17" s="461" t="s">
        <v>53</v>
      </c>
      <c r="K17" s="459"/>
      <c r="L17" s="462" t="e">
        <f t="shared" ref="L17:L19" si="4">I17/G17</f>
        <v>#DIV/0!</v>
      </c>
      <c r="M17" s="462" t="e">
        <f t="shared" ref="M17:M19" si="5">I17/F17</f>
        <v>#DIV/0!</v>
      </c>
    </row>
    <row r="18" spans="1:13" s="409" customFormat="1" ht="26.1" hidden="1" customHeight="1">
      <c r="A18" s="617"/>
      <c r="B18" s="428" t="s">
        <v>54</v>
      </c>
      <c r="C18" s="558"/>
      <c r="D18" s="559" t="s">
        <v>55</v>
      </c>
      <c r="E18" s="559"/>
      <c r="F18" s="459"/>
      <c r="G18" s="459"/>
      <c r="H18" s="460"/>
      <c r="I18" s="459"/>
      <c r="J18" s="461"/>
      <c r="K18" s="459"/>
      <c r="L18" s="462" t="e">
        <f t="shared" si="4"/>
        <v>#DIV/0!</v>
      </c>
      <c r="M18" s="462" t="e">
        <f t="shared" si="5"/>
        <v>#DIV/0!</v>
      </c>
    </row>
    <row r="19" spans="1:13" s="409" customFormat="1" ht="26.1" hidden="1" customHeight="1">
      <c r="A19" s="617"/>
      <c r="B19" s="428" t="s">
        <v>56</v>
      </c>
      <c r="C19" s="558"/>
      <c r="D19" s="430" t="s">
        <v>57</v>
      </c>
      <c r="E19" s="430"/>
      <c r="F19" s="459"/>
      <c r="G19" s="459"/>
      <c r="H19" s="460"/>
      <c r="I19" s="459"/>
      <c r="J19" s="461"/>
      <c r="K19" s="459"/>
      <c r="L19" s="462" t="e">
        <f t="shared" si="4"/>
        <v>#DIV/0!</v>
      </c>
      <c r="M19" s="462" t="e">
        <f t="shared" si="5"/>
        <v>#DIV/0!</v>
      </c>
    </row>
    <row r="20" spans="1:13" s="409" customFormat="1" ht="26.1" customHeight="1">
      <c r="A20" s="617" t="s">
        <v>58</v>
      </c>
      <c r="B20" s="617"/>
      <c r="C20" s="621"/>
      <c r="D20" s="617"/>
      <c r="E20" s="617"/>
      <c r="F20" s="617"/>
      <c r="G20" s="617"/>
      <c r="H20" s="622"/>
      <c r="I20" s="617"/>
      <c r="J20" s="617"/>
      <c r="K20" s="617"/>
      <c r="L20" s="617"/>
      <c r="M20" s="617"/>
    </row>
    <row r="21" spans="1:13" s="409" customFormat="1" ht="26.1" customHeight="1">
      <c r="A21" s="617" t="s">
        <v>59</v>
      </c>
      <c r="B21" s="428" t="s">
        <v>60</v>
      </c>
      <c r="C21" s="470" t="s">
        <v>61</v>
      </c>
      <c r="D21" s="430" t="s">
        <v>62</v>
      </c>
      <c r="E21" s="471">
        <v>1993071.29</v>
      </c>
      <c r="F21" s="473">
        <v>1922814.65</v>
      </c>
      <c r="G21" s="473">
        <v>1922814.65</v>
      </c>
      <c r="H21" s="460"/>
      <c r="I21" s="614">
        <v>2304821.2400000002</v>
      </c>
      <c r="J21" s="475"/>
      <c r="K21" s="475"/>
      <c r="L21" s="475"/>
      <c r="M21" s="475"/>
    </row>
    <row r="22" spans="1:13" s="409" customFormat="1" ht="26.1" customHeight="1">
      <c r="A22" s="617"/>
      <c r="B22" s="476" t="s">
        <v>63</v>
      </c>
      <c r="C22" s="470" t="s">
        <v>64</v>
      </c>
      <c r="D22" s="477" t="s">
        <v>65</v>
      </c>
      <c r="E22" s="477"/>
      <c r="F22" s="473"/>
      <c r="G22" s="475"/>
      <c r="H22" s="460" t="s">
        <v>53</v>
      </c>
      <c r="I22" s="615"/>
      <c r="J22" s="461" t="s">
        <v>53</v>
      </c>
      <c r="K22" s="475"/>
      <c r="L22" s="475"/>
      <c r="M22" s="475"/>
    </row>
    <row r="23" spans="1:13" s="409" customFormat="1" ht="26.1" customHeight="1">
      <c r="A23" s="617"/>
      <c r="B23" s="476" t="s">
        <v>66</v>
      </c>
      <c r="C23" s="429" t="s">
        <v>67</v>
      </c>
      <c r="D23" s="430" t="s">
        <v>68</v>
      </c>
      <c r="E23" s="430"/>
      <c r="F23" s="473"/>
      <c r="G23" s="475"/>
      <c r="H23" s="460" t="s">
        <v>53</v>
      </c>
      <c r="I23" s="615"/>
      <c r="J23" s="461" t="s">
        <v>53</v>
      </c>
      <c r="K23" s="475"/>
      <c r="L23" s="475"/>
      <c r="M23" s="475"/>
    </row>
    <row r="24" spans="1:13" ht="26.1" customHeight="1">
      <c r="A24" s="617"/>
      <c r="B24" s="476" t="s">
        <v>69</v>
      </c>
      <c r="C24" s="429" t="s">
        <v>70</v>
      </c>
      <c r="D24" s="430" t="s">
        <v>71</v>
      </c>
      <c r="E24" s="430"/>
      <c r="F24" s="473"/>
      <c r="G24" s="478"/>
      <c r="H24" s="460" t="s">
        <v>53</v>
      </c>
      <c r="I24" s="616">
        <f>I21/I14</f>
        <v>39.253716874446489</v>
      </c>
      <c r="J24" s="461" t="s">
        <v>53</v>
      </c>
      <c r="K24" s="475"/>
      <c r="L24" s="475"/>
      <c r="M24" s="475"/>
    </row>
    <row r="25" spans="1:13" ht="26.1" customHeight="1">
      <c r="A25" s="479"/>
      <c r="B25" s="480"/>
      <c r="D25" s="410"/>
      <c r="E25" s="410"/>
      <c r="F25" s="481"/>
      <c r="G25" s="481"/>
      <c r="H25" s="482"/>
      <c r="I25" s="481"/>
      <c r="J25" s="481"/>
      <c r="K25" s="481"/>
      <c r="L25" s="481"/>
      <c r="M25" s="481"/>
    </row>
    <row r="26" spans="1:13" ht="26.1" customHeight="1">
      <c r="A26" s="479"/>
      <c r="B26" s="480"/>
      <c r="D26" s="410"/>
      <c r="E26" s="410"/>
      <c r="F26" s="481"/>
      <c r="G26" s="481"/>
      <c r="H26" s="482"/>
      <c r="I26" s="481"/>
      <c r="J26" s="481"/>
      <c r="K26" s="481"/>
      <c r="L26" s="481"/>
      <c r="M26" s="481"/>
    </row>
    <row r="27" spans="1:13" ht="26.1" customHeight="1">
      <c r="A27" s="479"/>
      <c r="B27" s="480"/>
      <c r="D27" s="410"/>
      <c r="E27" s="410"/>
      <c r="F27" s="481"/>
      <c r="G27" s="481"/>
      <c r="H27" s="482"/>
      <c r="I27" s="481"/>
      <c r="J27" s="481"/>
      <c r="K27" s="481"/>
      <c r="L27" s="481"/>
      <c r="M27" s="481"/>
    </row>
  </sheetData>
  <sheetProtection formatCells="0" formatColumns="0" formatRows="0" insertColumns="0" insertRows="0" insertHyperlinks="0" deleteColumns="0" deleteRows="0" sort="0" autoFilter="0" pivotTables="0"/>
  <mergeCells count="7">
    <mergeCell ref="A21:A24"/>
    <mergeCell ref="A1:M1"/>
    <mergeCell ref="A20:M20"/>
    <mergeCell ref="A3:A5"/>
    <mergeCell ref="A7:A10"/>
    <mergeCell ref="A12:A14"/>
    <mergeCell ref="A16:A19"/>
  </mergeCells>
  <phoneticPr fontId="53" type="noConversion"/>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2"/>
  <sheetViews>
    <sheetView tabSelected="1" workbookViewId="0">
      <pane ySplit="3" topLeftCell="A22" activePane="bottomLeft" state="frozen"/>
      <selection pane="bottomLeft" activeCell="B27" sqref="B27:C29"/>
    </sheetView>
  </sheetViews>
  <sheetFormatPr defaultColWidth="9" defaultRowHeight="30.95" customHeight="1"/>
  <cols>
    <col min="1" max="1" width="7.375" customWidth="1"/>
    <col min="2" max="2" width="14" customWidth="1"/>
    <col min="3" max="3" width="13.5" customWidth="1"/>
    <col min="4" max="4" width="10.125" style="336" customWidth="1"/>
    <col min="5" max="5" width="16.375" style="336" customWidth="1"/>
    <col min="6" max="6" width="16.875" style="337" customWidth="1"/>
    <col min="7" max="7" width="17.125" style="338" customWidth="1"/>
    <col min="8" max="8" width="11.5" style="567" customWidth="1"/>
    <col min="9" max="9" width="19.125" style="568" customWidth="1"/>
    <col min="10" max="10" width="11.75" style="567" customWidth="1"/>
    <col min="11" max="11" width="14.875" style="568" customWidth="1"/>
    <col min="12" max="12" width="10.375" style="567" customWidth="1"/>
    <col min="13" max="13" width="13.25" hidden="1" customWidth="1"/>
    <col min="14" max="14" width="18.5" style="340" hidden="1" customWidth="1"/>
    <col min="16" max="16" width="16" customWidth="1"/>
  </cols>
  <sheetData>
    <row r="1" spans="1:14" ht="30.95" customHeight="1">
      <c r="A1" s="699" t="s">
        <v>72</v>
      </c>
      <c r="B1" s="699"/>
      <c r="C1" s="699"/>
      <c r="D1" s="699"/>
      <c r="E1" s="699"/>
      <c r="F1" s="700"/>
      <c r="G1" s="700"/>
      <c r="H1" s="701"/>
      <c r="I1" s="700"/>
      <c r="J1" s="701"/>
      <c r="K1" s="700"/>
      <c r="L1" s="701"/>
      <c r="M1" s="699"/>
      <c r="N1" s="702"/>
    </row>
    <row r="2" spans="1:14" s="322" customFormat="1" ht="30.95" customHeight="1">
      <c r="A2" s="703" t="s">
        <v>1</v>
      </c>
      <c r="B2" s="703"/>
      <c r="C2" s="703"/>
      <c r="D2" s="341" t="s">
        <v>4</v>
      </c>
      <c r="E2" s="342" t="s">
        <v>73</v>
      </c>
      <c r="F2" s="490" t="s">
        <v>74</v>
      </c>
      <c r="G2" s="490" t="s">
        <v>7</v>
      </c>
      <c r="H2" s="569" t="s">
        <v>75</v>
      </c>
      <c r="I2" s="570" t="s">
        <v>76</v>
      </c>
      <c r="J2" s="569" t="s">
        <v>75</v>
      </c>
      <c r="K2" s="569" t="s">
        <v>77</v>
      </c>
      <c r="L2" s="569" t="s">
        <v>78</v>
      </c>
      <c r="M2" s="493" t="s">
        <v>79</v>
      </c>
      <c r="N2" s="346" t="s">
        <v>80</v>
      </c>
    </row>
    <row r="3" spans="1:14" ht="30.95" customHeight="1">
      <c r="A3" s="634" t="s">
        <v>81</v>
      </c>
      <c r="B3" s="688" t="s">
        <v>82</v>
      </c>
      <c r="C3" s="689"/>
      <c r="D3" s="347" t="s">
        <v>15</v>
      </c>
      <c r="E3" s="348"/>
      <c r="F3" s="571">
        <v>8976177.1600000001</v>
      </c>
      <c r="G3" s="571">
        <v>8976177.1600000001</v>
      </c>
      <c r="H3" s="572">
        <f t="shared" ref="H3:H14" si="0">F3/$F$6</f>
        <v>0.60312067088169097</v>
      </c>
      <c r="I3" s="571">
        <v>9617216.9499999993</v>
      </c>
      <c r="J3" s="572">
        <f>I3/$I$15</f>
        <v>0.455006583747539</v>
      </c>
      <c r="K3" s="573">
        <f>I3-G3</f>
        <v>641039.78999999899</v>
      </c>
      <c r="L3" s="572">
        <f>I3/G3</f>
        <v>1.07141567936701</v>
      </c>
      <c r="M3" s="350"/>
      <c r="N3" s="351"/>
    </row>
    <row r="4" spans="1:14" ht="30.95" customHeight="1">
      <c r="A4" s="634"/>
      <c r="B4" s="688" t="s">
        <v>83</v>
      </c>
      <c r="C4" s="689"/>
      <c r="D4" s="347" t="s">
        <v>18</v>
      </c>
      <c r="E4" s="348"/>
      <c r="F4" s="571">
        <v>3340552.59</v>
      </c>
      <c r="G4" s="571">
        <v>3340552.59</v>
      </c>
      <c r="H4" s="572">
        <f t="shared" si="0"/>
        <v>0.224455944137846</v>
      </c>
      <c r="I4" s="571">
        <v>3441935.94</v>
      </c>
      <c r="J4" s="572">
        <f t="shared" ref="J4:J11" si="1">I4/$I$15</f>
        <v>0.162843733450068</v>
      </c>
      <c r="K4" s="573">
        <f>I4-G4</f>
        <v>101383.35</v>
      </c>
      <c r="L4" s="572">
        <f>I4/G4</f>
        <v>1.0303492752377199</v>
      </c>
      <c r="M4" s="350"/>
      <c r="N4" s="351"/>
    </row>
    <row r="5" spans="1:14" ht="30.95" customHeight="1">
      <c r="A5" s="634"/>
      <c r="B5" s="688" t="s">
        <v>84</v>
      </c>
      <c r="C5" s="689"/>
      <c r="D5" s="347" t="s">
        <v>20</v>
      </c>
      <c r="E5" s="348"/>
      <c r="F5" s="356">
        <v>2566157.86</v>
      </c>
      <c r="G5" s="356">
        <v>2566157.86</v>
      </c>
      <c r="H5" s="574">
        <f t="shared" si="0"/>
        <v>0.172423384980463</v>
      </c>
      <c r="I5" s="356">
        <v>2563456.5099999998</v>
      </c>
      <c r="J5" s="574">
        <f t="shared" si="1"/>
        <v>0.121281405552621</v>
      </c>
      <c r="K5" s="575">
        <f>I5-G5</f>
        <v>-2701.3500000000899</v>
      </c>
      <c r="L5" s="574">
        <f>I5/G5</f>
        <v>0.99894731729403397</v>
      </c>
      <c r="M5" s="350"/>
      <c r="N5" s="351"/>
    </row>
    <row r="6" spans="1:14" ht="30.95" customHeight="1">
      <c r="A6" s="634"/>
      <c r="B6" s="693" t="s">
        <v>85</v>
      </c>
      <c r="C6" s="694"/>
      <c r="D6" s="352"/>
      <c r="E6" s="86"/>
      <c r="F6" s="576">
        <f>SUM(F3:F5)</f>
        <v>14882887.609999999</v>
      </c>
      <c r="G6" s="576">
        <f>SUM(G3:G5)</f>
        <v>14882887.609999999</v>
      </c>
      <c r="H6" s="577">
        <f t="shared" si="0"/>
        <v>1</v>
      </c>
      <c r="I6" s="578">
        <f>SUM(I3:I5)</f>
        <v>15622609.4</v>
      </c>
      <c r="J6" s="577">
        <f t="shared" si="1"/>
        <v>0.73913172275022698</v>
      </c>
      <c r="K6" s="578">
        <f>SUM(K3:K5)</f>
        <v>739721.78999999899</v>
      </c>
      <c r="L6" s="579">
        <f t="shared" ref="L6:L15" si="2">I6/G6</f>
        <v>1.0497028405632101</v>
      </c>
      <c r="M6" s="354"/>
      <c r="N6" s="580"/>
    </row>
    <row r="7" spans="1:14" ht="30.95" customHeight="1">
      <c r="A7" s="634"/>
      <c r="B7" s="688" t="s">
        <v>86</v>
      </c>
      <c r="C7" s="689"/>
      <c r="D7" s="347" t="s">
        <v>87</v>
      </c>
      <c r="E7" s="348"/>
      <c r="F7" s="581">
        <v>1177600</v>
      </c>
      <c r="G7" s="581">
        <v>1177600</v>
      </c>
      <c r="H7" s="582">
        <f t="shared" si="0"/>
        <v>7.9124430074225399E-2</v>
      </c>
      <c r="I7" s="581">
        <v>984634</v>
      </c>
      <c r="J7" s="582">
        <f t="shared" si="1"/>
        <v>4.6584677761862703E-2</v>
      </c>
      <c r="K7" s="583">
        <f>I7-G7</f>
        <v>-192966</v>
      </c>
      <c r="L7" s="582">
        <f t="shared" si="2"/>
        <v>0.83613620923913001</v>
      </c>
      <c r="M7" s="350"/>
      <c r="N7" s="351"/>
    </row>
    <row r="8" spans="1:14" ht="30.95" customHeight="1">
      <c r="A8" s="634"/>
      <c r="B8" s="695" t="s">
        <v>88</v>
      </c>
      <c r="C8" s="696"/>
      <c r="D8" s="347" t="s">
        <v>89</v>
      </c>
      <c r="E8" s="348"/>
      <c r="F8" s="356">
        <v>385100</v>
      </c>
      <c r="G8" s="356">
        <v>385100</v>
      </c>
      <c r="H8" s="574">
        <f t="shared" si="0"/>
        <v>2.5875354977568099E-2</v>
      </c>
      <c r="I8" s="356">
        <v>740873.15</v>
      </c>
      <c r="J8" s="574">
        <f t="shared" si="1"/>
        <v>3.5051945144252798E-2</v>
      </c>
      <c r="K8" s="575">
        <f t="shared" ref="K8:K14" si="3">I8-G8</f>
        <v>355773.15</v>
      </c>
      <c r="L8" s="574">
        <f t="shared" si="2"/>
        <v>1.92384614385874</v>
      </c>
      <c r="M8" s="350"/>
      <c r="N8" s="351"/>
    </row>
    <row r="9" spans="1:14" ht="38.1" customHeight="1">
      <c r="A9" s="634"/>
      <c r="B9" s="697" t="s">
        <v>90</v>
      </c>
      <c r="C9" s="698"/>
      <c r="D9" s="347" t="s">
        <v>91</v>
      </c>
      <c r="E9" s="348"/>
      <c r="F9" s="356">
        <v>382300</v>
      </c>
      <c r="G9" s="356">
        <v>390000</v>
      </c>
      <c r="H9" s="574">
        <f t="shared" si="0"/>
        <v>2.5687219444103598E-2</v>
      </c>
      <c r="I9" s="356">
        <v>358800</v>
      </c>
      <c r="J9" s="574">
        <f t="shared" si="1"/>
        <v>1.6975426788996099E-2</v>
      </c>
      <c r="K9" s="575">
        <f t="shared" si="3"/>
        <v>-31200</v>
      </c>
      <c r="L9" s="574">
        <f t="shared" si="2"/>
        <v>0.92</v>
      </c>
      <c r="M9" s="350"/>
      <c r="N9" s="351"/>
    </row>
    <row r="10" spans="1:14" ht="30.95" customHeight="1">
      <c r="A10" s="634"/>
      <c r="B10" s="688" t="s">
        <v>92</v>
      </c>
      <c r="C10" s="689"/>
      <c r="D10" s="347" t="s">
        <v>93</v>
      </c>
      <c r="E10" s="348"/>
      <c r="F10" s="356">
        <v>459300</v>
      </c>
      <c r="G10" s="356">
        <v>459300</v>
      </c>
      <c r="H10" s="574">
        <f t="shared" si="0"/>
        <v>3.0860946614378101E-2</v>
      </c>
      <c r="I10" s="356">
        <v>434300</v>
      </c>
      <c r="J10" s="574">
        <f t="shared" si="1"/>
        <v>2.0547457788352801E-2</v>
      </c>
      <c r="K10" s="575">
        <f t="shared" si="3"/>
        <v>-25000</v>
      </c>
      <c r="L10" s="574">
        <f t="shared" si="2"/>
        <v>0.94556934465491005</v>
      </c>
      <c r="M10" s="350"/>
      <c r="N10" s="351"/>
    </row>
    <row r="11" spans="1:14" ht="30.95" customHeight="1">
      <c r="A11" s="634"/>
      <c r="B11" s="688" t="s">
        <v>94</v>
      </c>
      <c r="C11" s="689"/>
      <c r="D11" s="347" t="s">
        <v>95</v>
      </c>
      <c r="E11" s="348"/>
      <c r="F11" s="356">
        <v>492433.89</v>
      </c>
      <c r="G11" s="356">
        <v>492433.89</v>
      </c>
      <c r="H11" s="574">
        <f t="shared" si="0"/>
        <v>3.3087254496844201E-2</v>
      </c>
      <c r="I11" s="356">
        <v>492433.89</v>
      </c>
      <c r="J11" s="574">
        <f t="shared" si="1"/>
        <v>2.3297869141905101E-2</v>
      </c>
      <c r="K11" s="575">
        <f t="shared" si="3"/>
        <v>0</v>
      </c>
      <c r="L11" s="574">
        <f t="shared" si="2"/>
        <v>1</v>
      </c>
      <c r="M11" s="350"/>
      <c r="N11" s="351"/>
    </row>
    <row r="12" spans="1:14" ht="30.95" customHeight="1">
      <c r="A12" s="634"/>
      <c r="B12" s="688" t="s">
        <v>96</v>
      </c>
      <c r="C12" s="689"/>
      <c r="D12" s="347" t="s">
        <v>97</v>
      </c>
      <c r="E12" s="348"/>
      <c r="F12" s="356">
        <v>2067481</v>
      </c>
      <c r="G12" s="356">
        <v>2067481</v>
      </c>
      <c r="H12" s="574">
        <f t="shared" si="0"/>
        <v>0.13891665745099299</v>
      </c>
      <c r="I12" s="356">
        <v>2206885</v>
      </c>
      <c r="J12" s="574">
        <f t="shared" ref="J12:J34" si="4">I12/$I$15</f>
        <v>0.104411412344575</v>
      </c>
      <c r="K12" s="575">
        <f t="shared" si="3"/>
        <v>139404</v>
      </c>
      <c r="L12" s="574">
        <f t="shared" si="2"/>
        <v>1.06742697998192</v>
      </c>
      <c r="M12" s="350"/>
      <c r="N12" s="351"/>
    </row>
    <row r="13" spans="1:14" ht="38.1" customHeight="1">
      <c r="A13" s="634"/>
      <c r="B13" s="688" t="s">
        <v>98</v>
      </c>
      <c r="C13" s="689"/>
      <c r="D13" s="347" t="s">
        <v>99</v>
      </c>
      <c r="E13" s="348"/>
      <c r="F13" s="571">
        <v>183700</v>
      </c>
      <c r="G13" s="571">
        <v>190600</v>
      </c>
      <c r="H13" s="572">
        <f t="shared" si="0"/>
        <v>1.2343034820512201E-2</v>
      </c>
      <c r="I13" s="571">
        <v>219600</v>
      </c>
      <c r="J13" s="572">
        <f t="shared" si="4"/>
        <v>1.03896424828973E-2</v>
      </c>
      <c r="K13" s="573">
        <f t="shared" si="3"/>
        <v>29000</v>
      </c>
      <c r="L13" s="572">
        <f t="shared" si="2"/>
        <v>1.1521511017838399</v>
      </c>
      <c r="M13" s="350"/>
      <c r="N13" s="351"/>
    </row>
    <row r="14" spans="1:14" ht="38.1" customHeight="1">
      <c r="A14" s="634"/>
      <c r="B14" s="688" t="s">
        <v>100</v>
      </c>
      <c r="C14" s="689"/>
      <c r="D14" s="347" t="s">
        <v>101</v>
      </c>
      <c r="E14" s="348"/>
      <c r="F14" s="581">
        <v>105614.669805825</v>
      </c>
      <c r="G14" s="581">
        <v>105614.669805825</v>
      </c>
      <c r="H14" s="582">
        <f t="shared" si="0"/>
        <v>7.09638294485683E-3</v>
      </c>
      <c r="I14" s="581">
        <v>76299.27</v>
      </c>
      <c r="J14" s="582">
        <f t="shared" si="4"/>
        <v>3.6098457969309999E-3</v>
      </c>
      <c r="K14" s="583">
        <f t="shared" si="3"/>
        <v>-29315.399805825</v>
      </c>
      <c r="L14" s="582">
        <f t="shared" si="2"/>
        <v>0.72243060684920002</v>
      </c>
      <c r="M14" s="350"/>
      <c r="N14" s="351"/>
    </row>
    <row r="15" spans="1:14" ht="30.95" customHeight="1">
      <c r="A15" s="690" t="s">
        <v>102</v>
      </c>
      <c r="B15" s="691"/>
      <c r="C15" s="692"/>
      <c r="D15" s="352" t="s">
        <v>103</v>
      </c>
      <c r="E15" s="495"/>
      <c r="F15" s="576">
        <f>SUM(F6:F14)</f>
        <v>20136417.169805799</v>
      </c>
      <c r="G15" s="357">
        <f>SUM(G6:G14)</f>
        <v>20151017.169805799</v>
      </c>
      <c r="H15" s="577"/>
      <c r="I15" s="584">
        <f>SUM(I6:I14)</f>
        <v>21136434.710000001</v>
      </c>
      <c r="J15" s="577"/>
      <c r="K15" s="578">
        <f>SUM(K6:K14)</f>
        <v>985417.54019417404</v>
      </c>
      <c r="L15" s="579">
        <f t="shared" si="2"/>
        <v>1.04890162773871</v>
      </c>
      <c r="M15" s="497"/>
      <c r="N15" s="585"/>
    </row>
    <row r="16" spans="1:14" ht="30.95" hidden="1" customHeight="1">
      <c r="A16" s="359"/>
      <c r="B16" s="360" t="s">
        <v>104</v>
      </c>
      <c r="C16" s="361"/>
      <c r="D16" s="362"/>
      <c r="E16" s="362"/>
      <c r="F16" s="586"/>
      <c r="G16" s="587"/>
      <c r="H16" s="574"/>
      <c r="I16" s="588"/>
      <c r="J16" s="574">
        <f t="shared" si="4"/>
        <v>0</v>
      </c>
      <c r="K16" s="575"/>
      <c r="L16" s="574"/>
      <c r="M16" s="350"/>
      <c r="N16" s="589"/>
    </row>
    <row r="17" spans="1:18" ht="30.95" customHeight="1">
      <c r="A17" s="635" t="s">
        <v>105</v>
      </c>
      <c r="B17" s="686" t="s">
        <v>106</v>
      </c>
      <c r="C17" s="687"/>
      <c r="D17" s="366" t="s">
        <v>37</v>
      </c>
      <c r="E17" s="498"/>
      <c r="F17" s="356">
        <v>9456669</v>
      </c>
      <c r="G17" s="356">
        <v>9456669</v>
      </c>
      <c r="H17" s="574">
        <f t="shared" ref="H17:H34" si="5">G17/$G$15</f>
        <v>0.46928990831141898</v>
      </c>
      <c r="I17" s="356">
        <v>8982059.4900000002</v>
      </c>
      <c r="J17" s="574">
        <f t="shared" si="4"/>
        <v>0.42495622432246999</v>
      </c>
      <c r="K17" s="575">
        <f>I17-G17</f>
        <v>-474609.51</v>
      </c>
      <c r="L17" s="574">
        <f>I17/G17</f>
        <v>0.94981218968328096</v>
      </c>
      <c r="M17" s="350"/>
      <c r="N17" s="351"/>
    </row>
    <row r="18" spans="1:18" ht="30.95" customHeight="1">
      <c r="A18" s="636"/>
      <c r="B18" s="686" t="s">
        <v>107</v>
      </c>
      <c r="C18" s="687"/>
      <c r="D18" s="366" t="s">
        <v>39</v>
      </c>
      <c r="E18" s="498"/>
      <c r="F18" s="356">
        <v>1879529</v>
      </c>
      <c r="G18" s="356">
        <v>1879529</v>
      </c>
      <c r="H18" s="574">
        <f t="shared" si="5"/>
        <v>9.3272165080394806E-2</v>
      </c>
      <c r="I18" s="356">
        <v>1931025</v>
      </c>
      <c r="J18" s="574">
        <f t="shared" si="4"/>
        <v>9.1360015371296302E-2</v>
      </c>
      <c r="K18" s="575">
        <f t="shared" ref="K18:K34" si="6">I18-G18</f>
        <v>51496</v>
      </c>
      <c r="L18" s="574">
        <f t="shared" ref="L18:L34" si="7">I18/G18</f>
        <v>1.0273983535236799</v>
      </c>
      <c r="M18" s="350"/>
      <c r="N18" s="351"/>
    </row>
    <row r="19" spans="1:18" ht="30.95" customHeight="1">
      <c r="A19" s="636"/>
      <c r="B19" s="686" t="s">
        <v>108</v>
      </c>
      <c r="C19" s="687"/>
      <c r="D19" s="366" t="s">
        <v>109</v>
      </c>
      <c r="E19" s="498"/>
      <c r="F19" s="571">
        <v>1889700</v>
      </c>
      <c r="G19" s="571">
        <v>1789985</v>
      </c>
      <c r="H19" s="572">
        <f t="shared" si="5"/>
        <v>8.8828518427452097E-2</v>
      </c>
      <c r="I19" s="571">
        <v>1633812</v>
      </c>
      <c r="J19" s="572">
        <f t="shared" si="4"/>
        <v>7.7298372332729195E-2</v>
      </c>
      <c r="K19" s="573">
        <f t="shared" si="6"/>
        <v>-156173</v>
      </c>
      <c r="L19" s="572">
        <f t="shared" si="7"/>
        <v>0.91275178283616898</v>
      </c>
      <c r="M19" s="350"/>
      <c r="N19" s="351"/>
    </row>
    <row r="20" spans="1:18" ht="30.95" customHeight="1">
      <c r="A20" s="636"/>
      <c r="B20" s="686" t="s">
        <v>110</v>
      </c>
      <c r="C20" s="687"/>
      <c r="D20" s="366" t="s">
        <v>111</v>
      </c>
      <c r="E20" s="498"/>
      <c r="F20" s="356">
        <v>457182.5</v>
      </c>
      <c r="G20" s="356">
        <v>452182.5</v>
      </c>
      <c r="H20" s="574">
        <f t="shared" si="5"/>
        <v>2.2439686105649701E-2</v>
      </c>
      <c r="I20" s="356">
        <v>566899.39</v>
      </c>
      <c r="J20" s="574">
        <f t="shared" si="4"/>
        <v>2.6820956219820301E-2</v>
      </c>
      <c r="K20" s="575">
        <f t="shared" si="6"/>
        <v>114716.89</v>
      </c>
      <c r="L20" s="574">
        <f t="shared" si="7"/>
        <v>1.2536959966385299</v>
      </c>
      <c r="M20" s="350"/>
      <c r="N20" s="351"/>
    </row>
    <row r="21" spans="1:18" ht="30.95" customHeight="1">
      <c r="A21" s="636"/>
      <c r="B21" s="686" t="s">
        <v>112</v>
      </c>
      <c r="C21" s="687"/>
      <c r="D21" s="367" t="s">
        <v>113</v>
      </c>
      <c r="E21" s="498"/>
      <c r="F21" s="356">
        <v>517775.66</v>
      </c>
      <c r="G21" s="356">
        <v>517775.66</v>
      </c>
      <c r="H21" s="574">
        <f t="shared" si="5"/>
        <v>2.5694765462054799E-2</v>
      </c>
      <c r="I21" s="356">
        <v>517775.66</v>
      </c>
      <c r="J21" s="574">
        <f t="shared" si="4"/>
        <v>2.4496830572614599E-2</v>
      </c>
      <c r="K21" s="575">
        <f t="shared" si="6"/>
        <v>0</v>
      </c>
      <c r="L21" s="574">
        <f t="shared" si="7"/>
        <v>1</v>
      </c>
      <c r="M21" s="350"/>
      <c r="N21" s="351"/>
    </row>
    <row r="22" spans="1:18" ht="30.95" customHeight="1">
      <c r="A22" s="636"/>
      <c r="B22" s="686" t="s">
        <v>114</v>
      </c>
      <c r="C22" s="687"/>
      <c r="D22" s="367" t="s">
        <v>115</v>
      </c>
      <c r="E22" s="498"/>
      <c r="F22" s="571">
        <v>332500</v>
      </c>
      <c r="G22" s="571">
        <v>332500</v>
      </c>
      <c r="H22" s="572">
        <f t="shared" si="5"/>
        <v>1.6500407756002301E-2</v>
      </c>
      <c r="I22" s="571">
        <v>200122</v>
      </c>
      <c r="J22" s="572">
        <f t="shared" si="4"/>
        <v>9.4681057967320806E-3</v>
      </c>
      <c r="K22" s="573">
        <f t="shared" si="6"/>
        <v>-132378</v>
      </c>
      <c r="L22" s="572">
        <f t="shared" si="7"/>
        <v>0.601870676691729</v>
      </c>
      <c r="M22" s="350"/>
      <c r="N22" s="351"/>
    </row>
    <row r="23" spans="1:18" ht="30.95" customHeight="1">
      <c r="A23" s="636"/>
      <c r="B23" s="686" t="s">
        <v>116</v>
      </c>
      <c r="C23" s="687"/>
      <c r="D23" s="367" t="s">
        <v>117</v>
      </c>
      <c r="E23" s="498"/>
      <c r="F23" s="356">
        <v>179088</v>
      </c>
      <c r="G23" s="356">
        <v>179088</v>
      </c>
      <c r="H23" s="574">
        <f t="shared" si="5"/>
        <v>8.8872933058855505E-3</v>
      </c>
      <c r="I23" s="356">
        <v>210429</v>
      </c>
      <c r="J23" s="574">
        <f t="shared" si="4"/>
        <v>9.9557471677303496E-3</v>
      </c>
      <c r="K23" s="575">
        <f t="shared" si="6"/>
        <v>31341</v>
      </c>
      <c r="L23" s="574">
        <f t="shared" si="7"/>
        <v>1.17500335030823</v>
      </c>
      <c r="M23" s="350"/>
      <c r="N23" s="351"/>
      <c r="Q23" s="514"/>
      <c r="R23" s="514"/>
    </row>
    <row r="24" spans="1:18" ht="30.95" customHeight="1">
      <c r="A24" s="636"/>
      <c r="B24" s="684" t="s">
        <v>118</v>
      </c>
      <c r="C24" s="687"/>
      <c r="D24" s="367" t="s">
        <v>119</v>
      </c>
      <c r="E24" s="498"/>
      <c r="F24" s="356">
        <v>10000</v>
      </c>
      <c r="G24" s="356">
        <v>10000</v>
      </c>
      <c r="H24" s="574">
        <f t="shared" si="5"/>
        <v>4.9625286484217496E-4</v>
      </c>
      <c r="I24" s="356">
        <v>0</v>
      </c>
      <c r="J24" s="574">
        <f t="shared" si="4"/>
        <v>0</v>
      </c>
      <c r="K24" s="575">
        <f t="shared" si="6"/>
        <v>-10000</v>
      </c>
      <c r="L24" s="574">
        <f t="shared" si="7"/>
        <v>0</v>
      </c>
      <c r="M24" s="350"/>
      <c r="N24" s="351"/>
    </row>
    <row r="25" spans="1:18" ht="30.95" customHeight="1">
      <c r="A25" s="636"/>
      <c r="B25" s="686" t="s">
        <v>120</v>
      </c>
      <c r="C25" s="687"/>
      <c r="D25" s="367" t="s">
        <v>121</v>
      </c>
      <c r="E25" s="498"/>
      <c r="F25" s="356">
        <v>4720</v>
      </c>
      <c r="G25" s="356">
        <v>4720</v>
      </c>
      <c r="H25" s="574">
        <f t="shared" si="5"/>
        <v>2.34231352205507E-4</v>
      </c>
      <c r="I25" s="356">
        <v>18000</v>
      </c>
      <c r="J25" s="574">
        <f t="shared" si="4"/>
        <v>8.51610039581742E-4</v>
      </c>
      <c r="K25" s="575">
        <f t="shared" si="6"/>
        <v>13280</v>
      </c>
      <c r="L25" s="574">
        <f t="shared" si="7"/>
        <v>3.8135593220339001</v>
      </c>
      <c r="M25" s="350"/>
      <c r="N25" s="351"/>
    </row>
    <row r="26" spans="1:18" ht="30.95" customHeight="1">
      <c r="A26" s="636"/>
      <c r="B26" s="684" t="s">
        <v>122</v>
      </c>
      <c r="C26" s="685"/>
      <c r="D26" s="367" t="s">
        <v>123</v>
      </c>
      <c r="E26" s="498"/>
      <c r="F26" s="356">
        <v>67200</v>
      </c>
      <c r="G26" s="356">
        <v>67200</v>
      </c>
      <c r="H26" s="574">
        <f t="shared" si="5"/>
        <v>3.3348192517394198E-3</v>
      </c>
      <c r="I26" s="356">
        <v>67200</v>
      </c>
      <c r="J26" s="574">
        <f t="shared" si="4"/>
        <v>3.1793441477718401E-3</v>
      </c>
      <c r="K26" s="575">
        <f t="shared" si="6"/>
        <v>0</v>
      </c>
      <c r="L26" s="574">
        <f t="shared" si="7"/>
        <v>1</v>
      </c>
      <c r="M26" s="350"/>
      <c r="N26" s="351"/>
    </row>
    <row r="27" spans="1:18" ht="30.95" customHeight="1">
      <c r="A27" s="636"/>
      <c r="B27" s="684" t="s">
        <v>244</v>
      </c>
      <c r="C27" s="685"/>
      <c r="D27" s="367" t="s">
        <v>124</v>
      </c>
      <c r="E27" s="498"/>
      <c r="F27" s="356">
        <v>43600</v>
      </c>
      <c r="G27" s="356">
        <v>43600</v>
      </c>
      <c r="H27" s="574">
        <f t="shared" si="5"/>
        <v>2.1636624907118802E-3</v>
      </c>
      <c r="I27" s="356">
        <v>33758.47</v>
      </c>
      <c r="J27" s="574">
        <f t="shared" si="4"/>
        <v>1.5971695540510601E-3</v>
      </c>
      <c r="K27" s="575">
        <f t="shared" si="6"/>
        <v>-9841.5300000000007</v>
      </c>
      <c r="L27" s="574">
        <f t="shared" si="7"/>
        <v>0.77427683486238497</v>
      </c>
      <c r="M27" s="350"/>
      <c r="N27" s="351"/>
    </row>
    <row r="28" spans="1:18" ht="30.95" customHeight="1">
      <c r="A28" s="636"/>
      <c r="B28" s="686" t="s">
        <v>125</v>
      </c>
      <c r="C28" s="687"/>
      <c r="D28" s="367" t="s">
        <v>126</v>
      </c>
      <c r="E28" s="498"/>
      <c r="F28" s="571">
        <v>239500</v>
      </c>
      <c r="G28" s="571">
        <v>239500</v>
      </c>
      <c r="H28" s="572">
        <f t="shared" si="5"/>
        <v>1.1885256112970101E-2</v>
      </c>
      <c r="I28" s="571">
        <v>4523.38</v>
      </c>
      <c r="J28" s="572">
        <f t="shared" si="4"/>
        <v>2.1400865671351399E-4</v>
      </c>
      <c r="K28" s="573">
        <f t="shared" si="6"/>
        <v>-234976.62</v>
      </c>
      <c r="L28" s="572">
        <f t="shared" si="7"/>
        <v>1.8886764091858001E-2</v>
      </c>
      <c r="M28" s="350"/>
      <c r="N28" s="351"/>
    </row>
    <row r="29" spans="1:18" ht="30.95" customHeight="1">
      <c r="A29" s="636"/>
      <c r="B29" s="684" t="s">
        <v>245</v>
      </c>
      <c r="C29" s="685"/>
      <c r="D29" s="367" t="s">
        <v>127</v>
      </c>
      <c r="E29" s="498"/>
      <c r="F29" s="356">
        <v>36400</v>
      </c>
      <c r="G29" s="356">
        <v>36400</v>
      </c>
      <c r="H29" s="574">
        <f t="shared" si="5"/>
        <v>1.8063604280255201E-3</v>
      </c>
      <c r="I29" s="356">
        <f>23510.75+13322.47-5018.36-846.19</f>
        <v>30968.67</v>
      </c>
      <c r="J29" s="574">
        <f t="shared" si="4"/>
        <v>1.46517946024966E-3</v>
      </c>
      <c r="K29" s="575">
        <f t="shared" si="6"/>
        <v>-5431.33</v>
      </c>
      <c r="L29" s="574">
        <f t="shared" si="7"/>
        <v>0.85078763736263696</v>
      </c>
      <c r="M29" s="350"/>
      <c r="N29" s="351"/>
    </row>
    <row r="30" spans="1:18" ht="30.95" customHeight="1">
      <c r="A30" s="636"/>
      <c r="B30" s="686" t="s">
        <v>128</v>
      </c>
      <c r="C30" s="687"/>
      <c r="D30" s="367" t="s">
        <v>129</v>
      </c>
      <c r="E30" s="498"/>
      <c r="F30" s="356">
        <v>15400</v>
      </c>
      <c r="G30" s="356">
        <v>15400</v>
      </c>
      <c r="H30" s="574">
        <f t="shared" si="5"/>
        <v>7.6422941185694997E-4</v>
      </c>
      <c r="I30" s="356">
        <f>4030.47</f>
        <v>4030.47</v>
      </c>
      <c r="J30" s="574">
        <f t="shared" si="4"/>
        <v>1.9068826201294601E-4</v>
      </c>
      <c r="K30" s="575">
        <f t="shared" si="6"/>
        <v>-11369.53</v>
      </c>
      <c r="L30" s="574">
        <f t="shared" si="7"/>
        <v>0.26171883116883099</v>
      </c>
      <c r="M30" s="350"/>
      <c r="N30" s="351"/>
    </row>
    <row r="31" spans="1:18" ht="30.95" customHeight="1">
      <c r="A31" s="636"/>
      <c r="B31" s="686" t="s">
        <v>130</v>
      </c>
      <c r="C31" s="687"/>
      <c r="D31" s="367" t="s">
        <v>131</v>
      </c>
      <c r="E31" s="498"/>
      <c r="F31" s="571">
        <v>138400</v>
      </c>
      <c r="G31" s="571">
        <v>138400</v>
      </c>
      <c r="H31" s="572">
        <f t="shared" si="5"/>
        <v>6.8681396494156997E-3</v>
      </c>
      <c r="I31" s="571">
        <f>2425.02</f>
        <v>2425.02</v>
      </c>
      <c r="J31" s="572">
        <f t="shared" si="4"/>
        <v>1.1473174323258399E-4</v>
      </c>
      <c r="K31" s="573">
        <f t="shared" si="6"/>
        <v>-135974.98000000001</v>
      </c>
      <c r="L31" s="572">
        <f t="shared" si="7"/>
        <v>1.7521820809248599E-2</v>
      </c>
      <c r="M31" s="350"/>
      <c r="N31" s="351"/>
    </row>
    <row r="32" spans="1:18" ht="30.95" customHeight="1">
      <c r="A32" s="636"/>
      <c r="B32" s="676" t="s">
        <v>132</v>
      </c>
      <c r="C32" s="677"/>
      <c r="D32" s="367" t="s">
        <v>133</v>
      </c>
      <c r="E32" s="498"/>
      <c r="F32" s="356">
        <v>3600</v>
      </c>
      <c r="G32" s="356">
        <v>3600</v>
      </c>
      <c r="H32" s="574">
        <f t="shared" si="5"/>
        <v>1.7865103134318301E-4</v>
      </c>
      <c r="I32" s="356">
        <f>12922.14+681.87+146.32</f>
        <v>13750.33</v>
      </c>
      <c r="J32" s="574">
        <f t="shared" si="4"/>
        <v>6.50551059753445E-4</v>
      </c>
      <c r="K32" s="575">
        <f t="shared" si="6"/>
        <v>10150.33</v>
      </c>
      <c r="L32" s="574">
        <f t="shared" si="7"/>
        <v>3.8195361111111099</v>
      </c>
      <c r="M32" s="350"/>
      <c r="N32" s="351"/>
    </row>
    <row r="33" spans="1:16" ht="30.95" customHeight="1">
      <c r="A33" s="636"/>
      <c r="B33" s="678" t="s">
        <v>134</v>
      </c>
      <c r="C33" s="679"/>
      <c r="D33" s="367" t="s">
        <v>135</v>
      </c>
      <c r="E33" s="498"/>
      <c r="F33" s="571">
        <v>105000</v>
      </c>
      <c r="G33" s="571">
        <v>105000</v>
      </c>
      <c r="H33" s="572">
        <f t="shared" si="5"/>
        <v>5.21065508084284E-3</v>
      </c>
      <c r="I33" s="571">
        <v>8387</v>
      </c>
      <c r="J33" s="572">
        <f t="shared" si="4"/>
        <v>3.96802966776226E-4</v>
      </c>
      <c r="K33" s="573">
        <f t="shared" si="6"/>
        <v>-96613</v>
      </c>
      <c r="L33" s="572">
        <f t="shared" si="7"/>
        <v>7.9876190476190503E-2</v>
      </c>
      <c r="M33" s="350"/>
      <c r="N33" s="589"/>
    </row>
    <row r="34" spans="1:16" ht="30.95" customHeight="1">
      <c r="A34" s="636"/>
      <c r="B34" s="678" t="s">
        <v>136</v>
      </c>
      <c r="C34" s="679"/>
      <c r="D34" s="367" t="s">
        <v>137</v>
      </c>
      <c r="E34" s="498"/>
      <c r="F34" s="356">
        <v>52897</v>
      </c>
      <c r="G34" s="356">
        <v>48150</v>
      </c>
      <c r="H34" s="574">
        <f t="shared" si="5"/>
        <v>2.3894575442150699E-3</v>
      </c>
      <c r="I34" s="356">
        <v>50890.9</v>
      </c>
      <c r="J34" s="574">
        <f t="shared" si="4"/>
        <v>2.4077334090750299E-3</v>
      </c>
      <c r="K34" s="575">
        <f t="shared" si="6"/>
        <v>2740.9</v>
      </c>
      <c r="L34" s="574">
        <f t="shared" si="7"/>
        <v>1.05692419522326</v>
      </c>
      <c r="M34" s="350"/>
      <c r="N34" s="351"/>
    </row>
    <row r="35" spans="1:16" ht="30.95" customHeight="1">
      <c r="A35" s="680" t="s">
        <v>30</v>
      </c>
      <c r="B35" s="680"/>
      <c r="C35" s="680"/>
      <c r="D35" s="369" t="s">
        <v>45</v>
      </c>
      <c r="E35" s="499"/>
      <c r="F35" s="370">
        <f>SUM(F17:F34)</f>
        <v>15429161.16</v>
      </c>
      <c r="G35" s="370">
        <f>SUM(G17:G34)</f>
        <v>15319699.16</v>
      </c>
      <c r="H35" s="590"/>
      <c r="I35" s="591">
        <f>SUM(I17:I34)</f>
        <v>14276056.779999999</v>
      </c>
      <c r="J35" s="592"/>
      <c r="K35" s="591">
        <f>SUM(K17:K34)</f>
        <v>-1043642.38</v>
      </c>
      <c r="L35" s="593"/>
      <c r="M35" s="354"/>
      <c r="N35" s="372"/>
    </row>
    <row r="36" spans="1:16" ht="30.95" customHeight="1">
      <c r="A36" s="681" t="s">
        <v>138</v>
      </c>
      <c r="B36" s="682"/>
      <c r="C36" s="683"/>
      <c r="D36" s="373" t="s">
        <v>139</v>
      </c>
      <c r="E36" s="373"/>
      <c r="F36" s="370">
        <f>F15-F35</f>
        <v>4707256.00980582</v>
      </c>
      <c r="G36" s="370">
        <f>G15-G35</f>
        <v>4831318.00980582</v>
      </c>
      <c r="H36" s="590"/>
      <c r="I36" s="591">
        <f>I15-I35</f>
        <v>6860377.9299999904</v>
      </c>
      <c r="J36" s="592">
        <f>J15-J35</f>
        <v>0</v>
      </c>
      <c r="K36" s="591">
        <f>K15-K35</f>
        <v>2029059.92019417</v>
      </c>
      <c r="L36" s="593"/>
      <c r="M36" s="354"/>
      <c r="N36" s="372"/>
    </row>
    <row r="37" spans="1:16" ht="30.95" customHeight="1">
      <c r="A37" s="637" t="s">
        <v>140</v>
      </c>
      <c r="B37" s="642" t="s">
        <v>141</v>
      </c>
      <c r="C37" s="347" t="s">
        <v>142</v>
      </c>
      <c r="D37" s="347" t="s">
        <v>143</v>
      </c>
      <c r="E37" s="347">
        <v>1993071.29</v>
      </c>
      <c r="F37" s="356">
        <v>258</v>
      </c>
      <c r="G37" s="356">
        <v>258</v>
      </c>
      <c r="H37" s="574"/>
      <c r="I37" s="575">
        <v>258</v>
      </c>
      <c r="J37" s="594"/>
      <c r="K37" s="575">
        <f t="shared" ref="K37:K43" si="8">I37-G37</f>
        <v>0</v>
      </c>
      <c r="L37" s="574">
        <f t="shared" ref="L37:L43" si="9">I37/G37</f>
        <v>1</v>
      </c>
      <c r="M37" s="349">
        <f t="shared" ref="M37:M43" si="10">I37/F37</f>
        <v>1</v>
      </c>
      <c r="N37" s="377"/>
    </row>
    <row r="38" spans="1:16" ht="30.95" customHeight="1">
      <c r="A38" s="638"/>
      <c r="B38" s="643"/>
      <c r="C38" s="347" t="s">
        <v>144</v>
      </c>
      <c r="D38" s="347" t="s">
        <v>145</v>
      </c>
      <c r="E38" s="347">
        <v>0</v>
      </c>
      <c r="F38" s="356">
        <v>0</v>
      </c>
      <c r="G38" s="378">
        <v>0</v>
      </c>
      <c r="H38" s="574"/>
      <c r="I38" s="575">
        <v>0</v>
      </c>
      <c r="J38" s="594"/>
      <c r="K38" s="575">
        <f t="shared" si="8"/>
        <v>0</v>
      </c>
      <c r="L38" s="574">
        <v>0</v>
      </c>
      <c r="M38" s="349">
        <v>0</v>
      </c>
      <c r="N38" s="377"/>
    </row>
    <row r="39" spans="1:16" ht="30.95" customHeight="1">
      <c r="A39" s="638"/>
      <c r="B39" s="644"/>
      <c r="C39" s="347" t="s">
        <v>146</v>
      </c>
      <c r="D39" s="347" t="s">
        <v>147</v>
      </c>
      <c r="E39" s="347">
        <f t="shared" ref="E39:G39" si="11">SUM(E37:E38)</f>
        <v>1993071.29</v>
      </c>
      <c r="F39" s="356">
        <f t="shared" si="11"/>
        <v>258</v>
      </c>
      <c r="G39" s="356">
        <f t="shared" si="11"/>
        <v>258</v>
      </c>
      <c r="H39" s="574"/>
      <c r="I39" s="575">
        <f>SUM(I37:I38)</f>
        <v>258</v>
      </c>
      <c r="J39" s="594"/>
      <c r="K39" s="575">
        <f t="shared" si="8"/>
        <v>0</v>
      </c>
      <c r="L39" s="574">
        <f t="shared" si="9"/>
        <v>1</v>
      </c>
      <c r="M39" s="349">
        <f t="shared" si="10"/>
        <v>1</v>
      </c>
      <c r="N39" s="377"/>
    </row>
    <row r="40" spans="1:16" ht="30.95" customHeight="1">
      <c r="A40" s="638"/>
      <c r="B40" s="642" t="s">
        <v>148</v>
      </c>
      <c r="C40" s="380" t="s">
        <v>149</v>
      </c>
      <c r="D40" s="347" t="s">
        <v>150</v>
      </c>
      <c r="E40" s="347">
        <v>42037.8</v>
      </c>
      <c r="F40" s="356">
        <v>47459</v>
      </c>
      <c r="G40" s="356">
        <v>47459</v>
      </c>
      <c r="H40" s="574"/>
      <c r="I40" s="575">
        <v>47174.5</v>
      </c>
      <c r="J40" s="594"/>
      <c r="K40" s="575">
        <f t="shared" si="8"/>
        <v>-284.5</v>
      </c>
      <c r="L40" s="574">
        <f t="shared" si="9"/>
        <v>0.99400535198803175</v>
      </c>
      <c r="M40" s="349">
        <f t="shared" si="10"/>
        <v>0.99400535198803175</v>
      </c>
      <c r="N40" s="377"/>
    </row>
    <row r="41" spans="1:16" ht="30.95" customHeight="1">
      <c r="A41" s="638"/>
      <c r="B41" s="643"/>
      <c r="C41" s="380" t="s">
        <v>40</v>
      </c>
      <c r="D41" s="347" t="s">
        <v>151</v>
      </c>
      <c r="E41" s="347">
        <v>4066</v>
      </c>
      <c r="F41" s="356">
        <v>4763</v>
      </c>
      <c r="G41" s="356">
        <v>4763</v>
      </c>
      <c r="H41" s="574"/>
      <c r="I41" s="575">
        <v>4290.5</v>
      </c>
      <c r="J41" s="594"/>
      <c r="K41" s="575">
        <f t="shared" si="8"/>
        <v>-472.5</v>
      </c>
      <c r="L41" s="574">
        <f t="shared" si="9"/>
        <v>0.90079781650220447</v>
      </c>
      <c r="M41" s="349">
        <f t="shared" si="10"/>
        <v>0.90079781650220447</v>
      </c>
      <c r="N41" s="377"/>
    </row>
    <row r="42" spans="1:16" ht="30.95" customHeight="1">
      <c r="A42" s="639"/>
      <c r="B42" s="644"/>
      <c r="C42" s="347" t="s">
        <v>152</v>
      </c>
      <c r="D42" s="381" t="s">
        <v>153</v>
      </c>
      <c r="E42" s="347">
        <f t="shared" ref="E42:G42" si="12">SUM(E40:E41)</f>
        <v>46103.8</v>
      </c>
      <c r="F42" s="356">
        <f t="shared" si="12"/>
        <v>52222</v>
      </c>
      <c r="G42" s="356">
        <f t="shared" si="12"/>
        <v>52222</v>
      </c>
      <c r="H42" s="574"/>
      <c r="I42" s="575">
        <f>SUM(I40:I41)</f>
        <v>51465</v>
      </c>
      <c r="J42" s="574"/>
      <c r="K42" s="575">
        <f t="shared" si="8"/>
        <v>-757</v>
      </c>
      <c r="L42" s="574">
        <f t="shared" si="9"/>
        <v>0.98550419363486652</v>
      </c>
      <c r="M42" s="349">
        <f t="shared" si="10"/>
        <v>0.98550419363486652</v>
      </c>
      <c r="N42" s="377"/>
    </row>
    <row r="43" spans="1:16" ht="30.95" customHeight="1">
      <c r="A43" s="382" t="s">
        <v>154</v>
      </c>
      <c r="B43" s="383"/>
      <c r="C43" s="384"/>
      <c r="D43" s="385" t="s">
        <v>155</v>
      </c>
      <c r="E43" s="385"/>
      <c r="F43" s="386">
        <f>F36/F42</f>
        <v>90.139328440232461</v>
      </c>
      <c r="G43" s="386">
        <f>G36/G42</f>
        <v>92.514993868595994</v>
      </c>
      <c r="H43" s="386"/>
      <c r="I43" s="386">
        <f>I36/I42</f>
        <v>133.30181540852988</v>
      </c>
      <c r="J43" s="595"/>
      <c r="K43" s="596">
        <f t="shared" si="8"/>
        <v>40.786821539933882</v>
      </c>
      <c r="L43" s="577">
        <f t="shared" si="9"/>
        <v>1.4408671484955788</v>
      </c>
      <c r="M43" s="57">
        <f t="shared" si="10"/>
        <v>1.4788418963750836</v>
      </c>
      <c r="N43" s="390"/>
    </row>
    <row r="44" spans="1:16" ht="41.85" customHeight="1">
      <c r="A44" s="640" t="s">
        <v>156</v>
      </c>
      <c r="B44" s="668" t="s">
        <v>157</v>
      </c>
      <c r="C44" s="669"/>
      <c r="D44" s="391" t="s">
        <v>158</v>
      </c>
      <c r="E44" s="391"/>
      <c r="F44" s="597">
        <v>438000</v>
      </c>
      <c r="G44" s="597">
        <v>833095.34499999997</v>
      </c>
      <c r="H44" s="598"/>
      <c r="I44" s="356">
        <v>1290223.5349999999</v>
      </c>
      <c r="J44" s="356"/>
      <c r="K44" s="356"/>
      <c r="L44" s="356"/>
      <c r="M44" s="395"/>
      <c r="N44" s="396"/>
    </row>
    <row r="45" spans="1:16" ht="30.95" customHeight="1">
      <c r="A45" s="640"/>
      <c r="B45" s="670" t="s">
        <v>159</v>
      </c>
      <c r="C45" s="671"/>
      <c r="D45" s="391"/>
      <c r="E45" s="391" t="e">
        <v>#REF!</v>
      </c>
      <c r="F45" s="597">
        <v>4720</v>
      </c>
      <c r="G45" s="356">
        <v>4720</v>
      </c>
      <c r="H45" s="598"/>
      <c r="I45" s="356">
        <v>18000</v>
      </c>
      <c r="J45" s="356"/>
      <c r="K45" s="356"/>
      <c r="L45" s="356"/>
      <c r="M45" s="395"/>
      <c r="N45" s="396"/>
    </row>
    <row r="46" spans="1:16" ht="39.950000000000003" customHeight="1">
      <c r="A46" s="641"/>
      <c r="B46" s="672" t="s">
        <v>160</v>
      </c>
      <c r="C46" s="673"/>
      <c r="D46" s="391" t="s">
        <v>158</v>
      </c>
      <c r="E46" s="502">
        <v>15851900</v>
      </c>
      <c r="F46" s="400">
        <v>13810887.74</v>
      </c>
      <c r="G46" s="599">
        <v>13810887.74</v>
      </c>
      <c r="H46" s="598"/>
      <c r="I46" s="356">
        <v>16694200</v>
      </c>
      <c r="J46" s="356"/>
      <c r="K46" s="356">
        <f>I46-G46</f>
        <v>2883312.26</v>
      </c>
      <c r="L46" s="356">
        <f>I46/G46</f>
        <v>1.20877095768791</v>
      </c>
      <c r="M46" s="398">
        <f>I46/F46</f>
        <v>1.20877095768791</v>
      </c>
      <c r="N46" s="396"/>
      <c r="P46" s="399"/>
    </row>
    <row r="47" spans="1:16" ht="39.950000000000003" customHeight="1">
      <c r="A47" s="641"/>
      <c r="B47" s="672" t="s">
        <v>161</v>
      </c>
      <c r="C47" s="674"/>
      <c r="D47" s="391" t="s">
        <v>158</v>
      </c>
      <c r="E47" s="503">
        <v>90500000</v>
      </c>
      <c r="F47" s="400">
        <v>120003224.59999999</v>
      </c>
      <c r="G47" s="400">
        <v>120003224.59999999</v>
      </c>
      <c r="H47" s="598"/>
      <c r="I47" s="356">
        <v>106620000</v>
      </c>
      <c r="J47" s="356"/>
      <c r="K47" s="356">
        <f>I47-G47</f>
        <v>-13383224.6</v>
      </c>
      <c r="L47" s="356">
        <f>I47/G47</f>
        <v>0.88847612516572305</v>
      </c>
      <c r="M47" s="398">
        <f>I47/F47</f>
        <v>0.88847612516572305</v>
      </c>
      <c r="N47" s="396"/>
    </row>
    <row r="48" spans="1:16" ht="39.950000000000003" customHeight="1">
      <c r="A48" s="641"/>
      <c r="B48" s="668" t="s">
        <v>162</v>
      </c>
      <c r="C48" s="675"/>
      <c r="D48" s="391" t="s">
        <v>158</v>
      </c>
      <c r="E48" s="503">
        <v>0</v>
      </c>
      <c r="F48" s="400"/>
      <c r="G48" s="400"/>
      <c r="H48" s="598"/>
      <c r="I48" s="600"/>
      <c r="J48" s="598"/>
      <c r="K48" s="601"/>
      <c r="L48" s="598"/>
      <c r="M48" s="395"/>
      <c r="N48" s="396"/>
    </row>
    <row r="49" spans="1:13" ht="30.95" customHeight="1">
      <c r="A49" s="651" t="s">
        <v>163</v>
      </c>
      <c r="B49" s="652"/>
      <c r="C49" s="652"/>
      <c r="D49" s="652"/>
      <c r="E49" s="652"/>
      <c r="F49" s="653"/>
      <c r="G49" s="654"/>
      <c r="H49" s="655"/>
      <c r="I49" s="602"/>
      <c r="J49" s="603"/>
      <c r="K49" s="602"/>
      <c r="L49" s="604"/>
      <c r="M49" s="403"/>
    </row>
    <row r="50" spans="1:13" ht="30.95" customHeight="1">
      <c r="A50" s="645" t="s">
        <v>164</v>
      </c>
      <c r="B50" s="646"/>
      <c r="C50" s="647"/>
      <c r="D50" s="347" t="s">
        <v>165</v>
      </c>
      <c r="E50" s="347">
        <v>1383197.05</v>
      </c>
      <c r="F50" s="356">
        <v>1340898.31</v>
      </c>
      <c r="G50" s="356">
        <v>1340898.31</v>
      </c>
      <c r="H50" s="605"/>
      <c r="I50" s="356">
        <v>1702226.46</v>
      </c>
      <c r="J50" s="605"/>
      <c r="K50" s="606"/>
      <c r="L50" s="607"/>
      <c r="M50" s="405"/>
    </row>
    <row r="51" spans="1:13" ht="30.95" customHeight="1">
      <c r="A51" s="648"/>
      <c r="B51" s="649"/>
      <c r="C51" s="650"/>
      <c r="D51" s="347" t="s">
        <v>166</v>
      </c>
      <c r="E51" s="347">
        <v>340164.56</v>
      </c>
      <c r="F51" s="356">
        <v>303202.8</v>
      </c>
      <c r="G51" s="356">
        <v>303202.8</v>
      </c>
      <c r="H51" s="605"/>
      <c r="I51" s="356">
        <v>303202.8</v>
      </c>
      <c r="J51" s="605"/>
      <c r="K51" s="606"/>
      <c r="L51" s="607"/>
      <c r="M51" s="405"/>
    </row>
    <row r="52" spans="1:13" ht="30.95" customHeight="1">
      <c r="A52" s="648"/>
      <c r="B52" s="649"/>
      <c r="C52" s="650"/>
      <c r="D52" s="347" t="s">
        <v>167</v>
      </c>
      <c r="E52" s="347">
        <v>36168.800000000003</v>
      </c>
      <c r="F52" s="356">
        <v>35352.300000000003</v>
      </c>
      <c r="G52" s="356">
        <v>35352.300000000003</v>
      </c>
      <c r="H52" s="605"/>
      <c r="I52" s="356">
        <v>35352.300000000003</v>
      </c>
      <c r="J52" s="605"/>
      <c r="K52" s="606"/>
      <c r="L52" s="607"/>
      <c r="M52" s="405"/>
    </row>
    <row r="53" spans="1:13" ht="30.95" customHeight="1">
      <c r="A53" s="648"/>
      <c r="B53" s="649"/>
      <c r="C53" s="650"/>
      <c r="D53" s="347" t="s">
        <v>168</v>
      </c>
      <c r="E53" s="347">
        <v>3500</v>
      </c>
      <c r="F53" s="356">
        <v>3880</v>
      </c>
      <c r="G53" s="356">
        <v>3880</v>
      </c>
      <c r="H53" s="605"/>
      <c r="I53" s="356">
        <v>1580</v>
      </c>
      <c r="J53" s="605"/>
      <c r="K53" s="606"/>
      <c r="L53" s="607"/>
      <c r="M53" s="405"/>
    </row>
    <row r="54" spans="1:13" ht="30.95" customHeight="1">
      <c r="A54" s="648"/>
      <c r="B54" s="649"/>
      <c r="C54" s="650"/>
      <c r="D54" s="347" t="s">
        <v>169</v>
      </c>
      <c r="E54" s="347">
        <v>82143.17</v>
      </c>
      <c r="F54" s="356">
        <v>61000</v>
      </c>
      <c r="G54" s="356">
        <v>61000</v>
      </c>
      <c r="H54" s="605"/>
      <c r="I54" s="356">
        <v>66403.399999999994</v>
      </c>
      <c r="J54" s="605"/>
      <c r="K54" s="606"/>
      <c r="L54" s="607"/>
      <c r="M54" s="405"/>
    </row>
    <row r="55" spans="1:13" ht="30.95" customHeight="1">
      <c r="A55" s="648"/>
      <c r="B55" s="649"/>
      <c r="C55" s="650"/>
      <c r="D55" s="347" t="s">
        <v>170</v>
      </c>
      <c r="E55" s="347">
        <v>172</v>
      </c>
      <c r="F55" s="356">
        <v>0</v>
      </c>
      <c r="G55" s="356">
        <v>0</v>
      </c>
      <c r="H55" s="605"/>
      <c r="I55" s="608"/>
      <c r="J55" s="605"/>
      <c r="K55" s="606"/>
      <c r="L55" s="607"/>
      <c r="M55" s="405"/>
    </row>
    <row r="56" spans="1:13" ht="30.95" customHeight="1">
      <c r="A56" s="656" t="s">
        <v>171</v>
      </c>
      <c r="B56" s="657"/>
      <c r="C56" s="658"/>
      <c r="D56" s="406" t="s">
        <v>172</v>
      </c>
      <c r="E56" s="406"/>
      <c r="F56" s="356">
        <f>SUM(F50:F54)</f>
        <v>1744333.4100000001</v>
      </c>
      <c r="G56" s="356">
        <f>SUM(G50:G54)</f>
        <v>1744333.4100000001</v>
      </c>
      <c r="H56" s="605"/>
      <c r="I56" s="609">
        <v>1785889.89</v>
      </c>
      <c r="J56" s="605"/>
      <c r="K56" s="606"/>
      <c r="L56" s="607"/>
      <c r="M56" s="405"/>
    </row>
    <row r="57" spans="1:13" ht="30.95" customHeight="1">
      <c r="A57" s="659" t="s">
        <v>173</v>
      </c>
      <c r="B57" s="660"/>
      <c r="C57" s="661"/>
      <c r="D57" s="347" t="s">
        <v>174</v>
      </c>
      <c r="E57" s="347"/>
      <c r="F57" s="356">
        <f>F50/F42</f>
        <v>25.676885412278352</v>
      </c>
      <c r="G57" s="356">
        <f>G50/G42</f>
        <v>25.676885412278352</v>
      </c>
      <c r="H57" s="605"/>
      <c r="I57" s="610">
        <f>I56/I42</f>
        <v>34.701056834742054</v>
      </c>
      <c r="J57" s="605"/>
      <c r="K57" s="606"/>
      <c r="L57" s="607"/>
      <c r="M57" s="405"/>
    </row>
    <row r="58" spans="1:13" ht="30.95" hidden="1" customHeight="1">
      <c r="A58" s="662" t="s">
        <v>64</v>
      </c>
      <c r="B58" s="663"/>
      <c r="C58" s="664"/>
      <c r="D58" s="519" t="s">
        <v>175</v>
      </c>
      <c r="E58" s="519"/>
      <c r="F58" s="520"/>
      <c r="G58" s="521"/>
      <c r="H58" s="607"/>
      <c r="I58" s="611"/>
      <c r="J58" s="607"/>
      <c r="K58" s="611"/>
      <c r="L58" s="607"/>
      <c r="M58" s="405"/>
    </row>
    <row r="59" spans="1:13" ht="30.95" hidden="1" customHeight="1">
      <c r="A59" s="665" t="s">
        <v>67</v>
      </c>
      <c r="B59" s="666"/>
      <c r="C59" s="667"/>
      <c r="D59" s="522" t="s">
        <v>176</v>
      </c>
      <c r="E59" s="522"/>
      <c r="F59" s="523"/>
      <c r="G59" s="521"/>
      <c r="H59" s="607"/>
      <c r="I59" s="611"/>
      <c r="J59" s="607"/>
      <c r="K59" s="611"/>
      <c r="L59" s="607"/>
      <c r="M59" s="405"/>
    </row>
    <row r="60" spans="1:13" ht="30.95" hidden="1" customHeight="1">
      <c r="A60" s="625" t="s">
        <v>177</v>
      </c>
      <c r="B60" s="626"/>
      <c r="C60" s="627"/>
      <c r="D60" s="524" t="s">
        <v>178</v>
      </c>
      <c r="E60" s="524"/>
      <c r="F60" s="525"/>
      <c r="G60" s="521"/>
      <c r="H60" s="607"/>
      <c r="I60" s="611"/>
      <c r="J60" s="607"/>
      <c r="K60" s="611"/>
      <c r="L60" s="607"/>
      <c r="M60" s="405"/>
    </row>
    <row r="61" spans="1:13" ht="30.95" hidden="1" customHeight="1">
      <c r="A61" s="628" t="s">
        <v>179</v>
      </c>
      <c r="B61" s="629"/>
      <c r="C61" s="630"/>
      <c r="D61" s="526" t="s">
        <v>180</v>
      </c>
      <c r="E61" s="526"/>
      <c r="F61" s="527"/>
      <c r="G61" s="521"/>
      <c r="H61" s="607"/>
      <c r="I61" s="611"/>
      <c r="J61" s="607"/>
      <c r="K61" s="611"/>
      <c r="L61" s="607"/>
      <c r="M61" s="405"/>
    </row>
    <row r="62" spans="1:13" ht="30.95" hidden="1" customHeight="1">
      <c r="A62" s="631" t="s">
        <v>181</v>
      </c>
      <c r="B62" s="632"/>
      <c r="C62" s="633"/>
      <c r="D62" s="362"/>
      <c r="E62" s="362"/>
      <c r="F62" s="528"/>
      <c r="G62" s="521"/>
      <c r="H62" s="607"/>
      <c r="I62" s="611"/>
      <c r="J62" s="607"/>
      <c r="K62" s="611"/>
      <c r="L62" s="607"/>
      <c r="M62" s="405"/>
    </row>
  </sheetData>
  <sheetProtection formatCells="0" formatColumns="0" formatRows="0" insertColumns="0" insertRows="0" insertHyperlinks="0" deleteColumns="0" deleteRows="0" sort="0" autoFilter="0" pivotTables="0"/>
  <mergeCells count="55">
    <mergeCell ref="A1:N1"/>
    <mergeCell ref="A2:C2"/>
    <mergeCell ref="B3:C3"/>
    <mergeCell ref="B4:C4"/>
    <mergeCell ref="B5:C5"/>
    <mergeCell ref="B6:C6"/>
    <mergeCell ref="B7:C7"/>
    <mergeCell ref="B8:C8"/>
    <mergeCell ref="B9:C9"/>
    <mergeCell ref="B10:C10"/>
    <mergeCell ref="B11:C11"/>
    <mergeCell ref="B12:C12"/>
    <mergeCell ref="B13:C13"/>
    <mergeCell ref="B14:C14"/>
    <mergeCell ref="A15:C15"/>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45:C45"/>
    <mergeCell ref="B46:C46"/>
    <mergeCell ref="B47:C47"/>
    <mergeCell ref="B48:C48"/>
    <mergeCell ref="B32:C32"/>
    <mergeCell ref="B33:C33"/>
    <mergeCell ref="B34:C34"/>
    <mergeCell ref="A35:C35"/>
    <mergeCell ref="A36:C36"/>
    <mergeCell ref="A60:C60"/>
    <mergeCell ref="A61:C61"/>
    <mergeCell ref="A62:C62"/>
    <mergeCell ref="A3:A14"/>
    <mergeCell ref="A17:A34"/>
    <mergeCell ref="A37:A42"/>
    <mergeCell ref="A44:A48"/>
    <mergeCell ref="B37:B39"/>
    <mergeCell ref="B40:B42"/>
    <mergeCell ref="A50:C55"/>
    <mergeCell ref="A49:H49"/>
    <mergeCell ref="A56:C56"/>
    <mergeCell ref="A57:C57"/>
    <mergeCell ref="A58:C58"/>
    <mergeCell ref="A59:C59"/>
    <mergeCell ref="B44:C44"/>
  </mergeCells>
  <phoneticPr fontId="54" type="noConversion"/>
  <pageMargins left="0.75" right="0.75" top="1" bottom="1" header="0.5" footer="0.5"/>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M77"/>
  <sheetViews>
    <sheetView workbookViewId="0">
      <pane ySplit="3" topLeftCell="A15" activePane="bottomLeft" state="frozen"/>
      <selection pane="bottomLeft" activeCell="F19" sqref="F19"/>
    </sheetView>
  </sheetViews>
  <sheetFormatPr defaultColWidth="8.625" defaultRowHeight="14.25"/>
  <cols>
    <col min="1" max="1" width="17.875" style="29" customWidth="1"/>
    <col min="2" max="2" width="15.75" style="35" customWidth="1"/>
    <col min="3" max="3" width="12.5" style="29" customWidth="1"/>
    <col min="4" max="4" width="19.625" style="29" customWidth="1"/>
    <col min="5" max="5" width="17.625" style="29" customWidth="1"/>
    <col min="6" max="6" width="15.375" style="36" customWidth="1"/>
    <col min="7" max="7" width="16.875" style="37" customWidth="1"/>
    <col min="8" max="8" width="16.125" style="29" customWidth="1"/>
    <col min="9" max="9" width="17.875" style="29" customWidth="1"/>
    <col min="10" max="10" width="15.5" style="29" customWidth="1"/>
    <col min="11" max="11" width="9.625" style="37" customWidth="1"/>
    <col min="12" max="12" width="14.875" style="38" customWidth="1"/>
    <col min="13" max="13" width="10.875" style="29" customWidth="1"/>
    <col min="14" max="14" width="12.375" style="37" customWidth="1"/>
    <col min="15" max="16" width="15.375" style="29" customWidth="1"/>
    <col min="17" max="17" width="19.5" style="39" customWidth="1"/>
    <col min="18" max="18" width="9.625" style="29" hidden="1" customWidth="1"/>
    <col min="19" max="19" width="14.125" style="38" customWidth="1"/>
    <col min="20" max="20" width="10.875" style="37" customWidth="1"/>
    <col min="21" max="21" width="13.5" style="37" customWidth="1"/>
    <col min="22" max="22" width="15.375" style="29" customWidth="1"/>
    <col min="23" max="23" width="15.625" style="29" customWidth="1"/>
    <col min="24" max="24" width="19.5" style="29" customWidth="1"/>
    <col min="25" max="25" width="8.5" style="29" customWidth="1"/>
    <col min="26" max="26" width="17" style="29" customWidth="1"/>
    <col min="27" max="27" width="10.875" style="29" customWidth="1"/>
    <col min="28" max="28" width="9.625" style="29" customWidth="1"/>
    <col min="29" max="31" width="19.5" style="29" customWidth="1"/>
    <col min="32" max="32" width="9.625" style="29" customWidth="1"/>
    <col min="33" max="33" width="18.125" style="29" customWidth="1"/>
    <col min="34" max="34" width="10.875" style="29" customWidth="1"/>
    <col min="35" max="35" width="9.625" style="29" customWidth="1"/>
    <col min="36" max="38" width="19.5" style="29" customWidth="1"/>
    <col min="39" max="39" width="9.625" style="29" customWidth="1"/>
    <col min="40" max="40" width="14.875" style="29" customWidth="1"/>
    <col min="41" max="41" width="10.875" style="29" customWidth="1"/>
    <col min="42" max="42" width="9.625" style="29" customWidth="1"/>
    <col min="43" max="45" width="19.5" style="29" customWidth="1"/>
    <col min="46" max="46" width="8.5" style="29" customWidth="1"/>
    <col min="47" max="47" width="18.125" style="29" customWidth="1"/>
    <col min="48" max="48" width="10.875" style="29" customWidth="1"/>
    <col min="49" max="49" width="9.625" style="29" customWidth="1"/>
    <col min="50" max="52" width="17.125" style="29" customWidth="1"/>
    <col min="53" max="53" width="8.5" style="29" customWidth="1"/>
    <col min="54" max="54" width="17.125" style="29" customWidth="1"/>
    <col min="55" max="56" width="9.5" style="29" customWidth="1"/>
    <col min="57" max="59" width="17.125" style="29" customWidth="1"/>
    <col min="60" max="60" width="10.625" style="37" customWidth="1"/>
    <col min="61" max="61" width="18.375" style="29" customWidth="1"/>
    <col min="62" max="63" width="9.5" style="29" customWidth="1"/>
    <col min="64" max="64" width="20" style="29" customWidth="1"/>
    <col min="65" max="66" width="17.125" style="29" customWidth="1"/>
    <col min="67" max="67" width="10.125" style="37" customWidth="1"/>
    <col min="68" max="68" width="17.125" style="29" customWidth="1"/>
    <col min="69" max="70" width="9.5" style="29" customWidth="1"/>
    <col min="71" max="71" width="17.625" style="40" customWidth="1"/>
    <col min="72" max="72" width="16.875" style="40" customWidth="1"/>
    <col min="73" max="73" width="17.125" style="40" customWidth="1"/>
    <col min="74" max="74" width="8.5" style="29" customWidth="1"/>
    <col min="75" max="75" width="18.125" style="29" customWidth="1"/>
    <col min="76" max="76" width="10.5" style="29" customWidth="1"/>
    <col min="77" max="77" width="9.5" style="29" customWidth="1"/>
    <col min="78" max="80" width="17.125" style="29" customWidth="1"/>
    <col min="81" max="81" width="8.5" style="29" customWidth="1"/>
    <col min="82" max="82" width="16.625" style="29" customWidth="1"/>
    <col min="83" max="84" width="9.5" style="29" customWidth="1"/>
    <col min="85" max="87" width="17.125" style="29" customWidth="1"/>
    <col min="88" max="88" width="8.5" style="29" customWidth="1"/>
    <col min="89" max="89" width="17.375" style="29" customWidth="1"/>
    <col min="90" max="90" width="9.5" style="29" customWidth="1"/>
    <col min="91" max="91" width="33.875" style="29" customWidth="1"/>
    <col min="92" max="104" width="8.625" style="29"/>
    <col min="105" max="105" width="15" style="29" customWidth="1"/>
    <col min="106" max="106" width="10.625" style="29" customWidth="1"/>
    <col min="107" max="107" width="20.625" style="29" customWidth="1"/>
    <col min="108" max="108" width="18.125" style="29" customWidth="1"/>
    <col min="109" max="109" width="12" style="29" customWidth="1"/>
    <col min="110" max="112" width="19.5" style="29" customWidth="1"/>
    <col min="113" max="113" width="9.625" style="29" customWidth="1"/>
    <col min="114" max="114" width="19.5" style="29" customWidth="1"/>
    <col min="115" max="115" width="10.875" style="29" customWidth="1"/>
    <col min="116" max="116" width="9.625" style="29" customWidth="1"/>
    <col min="117" max="119" width="19.5" style="29" customWidth="1"/>
    <col min="120" max="120" width="9.625" style="29" customWidth="1"/>
    <col min="121" max="121" width="18.125" style="29" customWidth="1"/>
    <col min="122" max="122" width="10.875" style="29" customWidth="1"/>
    <col min="123" max="123" width="9.625" style="29" customWidth="1"/>
    <col min="124" max="126" width="19.5" style="29" customWidth="1"/>
    <col min="127" max="127" width="8.5" style="29" customWidth="1"/>
    <col min="128" max="128" width="17" style="29" customWidth="1"/>
    <col min="129" max="129" width="10.875" style="29" customWidth="1"/>
    <col min="130" max="130" width="9.625" style="29" customWidth="1"/>
    <col min="131" max="133" width="19.5" style="29" customWidth="1"/>
    <col min="134" max="134" width="9.625" style="29" customWidth="1"/>
    <col min="135" max="135" width="12.375" style="29" customWidth="1"/>
    <col min="136" max="136" width="10.875" style="29" customWidth="1"/>
    <col min="137" max="137" width="9.625" style="29" customWidth="1"/>
    <col min="138" max="140" width="19.5" style="29" customWidth="1"/>
    <col min="141" max="141" width="9.625" style="29" customWidth="1"/>
    <col min="142" max="142" width="12.375" style="29" customWidth="1"/>
    <col min="143" max="143" width="10.875" style="29" customWidth="1"/>
    <col min="144" max="144" width="9.625" style="29" customWidth="1"/>
    <col min="145" max="147" width="19.5" style="29" customWidth="1"/>
    <col min="148" max="148" width="8.5" style="29" customWidth="1"/>
    <col min="149" max="149" width="18.125" style="29" customWidth="1"/>
    <col min="150" max="150" width="10.875" style="29" customWidth="1"/>
    <col min="151" max="155" width="9.625" style="29" customWidth="1"/>
    <col min="156" max="156" width="12.375" style="29" customWidth="1"/>
    <col min="157" max="157" width="10.875" style="29" customWidth="1"/>
    <col min="158" max="162" width="9.625" style="29" customWidth="1"/>
    <col min="163" max="163" width="12.375" style="29" customWidth="1"/>
    <col min="164" max="164" width="10.875" style="29" customWidth="1"/>
    <col min="165" max="169" width="9.625" style="29" customWidth="1"/>
    <col min="170" max="170" width="12.375" style="29" customWidth="1"/>
    <col min="171" max="171" width="10.875" style="29" customWidth="1"/>
    <col min="172" max="176" width="9.625" style="29" customWidth="1"/>
    <col min="177" max="177" width="12.375" style="29" customWidth="1"/>
    <col min="178" max="178" width="10.875" style="29" customWidth="1"/>
    <col min="179" max="183" width="9.625" style="29" customWidth="1"/>
    <col min="184" max="184" width="12.375" style="29" customWidth="1"/>
    <col min="185" max="185" width="10.875" style="29" customWidth="1"/>
    <col min="186" max="190" width="9.625" style="29" customWidth="1"/>
    <col min="191" max="191" width="12.375" style="29" customWidth="1"/>
    <col min="192" max="192" width="10.875" style="29" customWidth="1"/>
    <col min="193" max="193" width="9.625" style="29" customWidth="1"/>
    <col min="194" max="16384" width="8.625" style="29"/>
  </cols>
  <sheetData>
    <row r="1" spans="1:91" ht="36" customHeight="1">
      <c r="A1" s="747" t="s">
        <v>218</v>
      </c>
      <c r="B1" s="748"/>
      <c r="C1" s="748"/>
      <c r="D1" s="748"/>
      <c r="E1" s="748"/>
      <c r="F1" s="748"/>
      <c r="G1" s="749"/>
      <c r="H1" s="748"/>
      <c r="I1" s="748"/>
      <c r="J1" s="748"/>
      <c r="K1" s="749"/>
      <c r="L1" s="750"/>
      <c r="M1" s="748"/>
      <c r="N1" s="749"/>
      <c r="O1" s="41"/>
      <c r="P1" s="41"/>
      <c r="Q1" s="42"/>
      <c r="R1" s="41"/>
      <c r="S1" s="43"/>
      <c r="T1" s="44"/>
      <c r="U1" s="44"/>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4"/>
      <c r="BI1" s="41"/>
      <c r="BJ1" s="41"/>
      <c r="BK1" s="41"/>
      <c r="BL1" s="41"/>
      <c r="BM1" s="41"/>
      <c r="BN1" s="41"/>
      <c r="BO1" s="44"/>
      <c r="BP1" s="41"/>
      <c r="BQ1" s="41"/>
      <c r="BR1" s="41"/>
      <c r="BS1" s="45"/>
      <c r="BT1" s="45"/>
      <c r="BU1" s="45"/>
      <c r="BV1" s="41"/>
      <c r="BW1" s="41"/>
      <c r="BX1" s="41"/>
      <c r="BY1" s="41"/>
      <c r="BZ1" s="41"/>
      <c r="CA1" s="41"/>
      <c r="CB1" s="41"/>
      <c r="CC1" s="41"/>
      <c r="CD1" s="41"/>
      <c r="CE1" s="41"/>
      <c r="CF1" s="41"/>
      <c r="CG1" s="41"/>
      <c r="CH1" s="41"/>
      <c r="CI1" s="41"/>
      <c r="CJ1" s="41"/>
      <c r="CK1" s="41"/>
      <c r="CL1" s="41"/>
      <c r="CM1" s="41"/>
    </row>
    <row r="2" spans="1:91" ht="23.25" customHeight="1">
      <c r="A2" s="734"/>
      <c r="B2" s="728" t="s">
        <v>3</v>
      </c>
      <c r="C2" s="751"/>
      <c r="D2" s="752"/>
      <c r="E2" s="752"/>
      <c r="F2" s="752"/>
      <c r="G2" s="753"/>
      <c r="H2" s="746" t="s">
        <v>219</v>
      </c>
      <c r="I2" s="746"/>
      <c r="J2" s="746"/>
      <c r="K2" s="754"/>
      <c r="L2" s="755"/>
      <c r="M2" s="746"/>
      <c r="N2" s="754"/>
      <c r="O2" s="746" t="s">
        <v>220</v>
      </c>
      <c r="P2" s="746"/>
      <c r="Q2" s="746"/>
      <c r="R2" s="746"/>
      <c r="S2" s="755"/>
      <c r="T2" s="754"/>
      <c r="U2" s="754"/>
      <c r="V2" s="746" t="s">
        <v>221</v>
      </c>
      <c r="W2" s="746"/>
      <c r="X2" s="746"/>
      <c r="Y2" s="746"/>
      <c r="Z2" s="746"/>
      <c r="AA2" s="746"/>
      <c r="AB2" s="746"/>
      <c r="AC2" s="746" t="s">
        <v>222</v>
      </c>
      <c r="AD2" s="746"/>
      <c r="AE2" s="746"/>
      <c r="AF2" s="746"/>
      <c r="AG2" s="746"/>
      <c r="AH2" s="746"/>
      <c r="AI2" s="746"/>
      <c r="AJ2" s="746" t="s">
        <v>223</v>
      </c>
      <c r="AK2" s="746"/>
      <c r="AL2" s="746"/>
      <c r="AM2" s="746"/>
      <c r="AN2" s="746"/>
      <c r="AO2" s="746"/>
      <c r="AP2" s="746"/>
      <c r="AQ2" s="746" t="s">
        <v>224</v>
      </c>
      <c r="AR2" s="746"/>
      <c r="AS2" s="746"/>
      <c r="AT2" s="746"/>
      <c r="AU2" s="746"/>
      <c r="AV2" s="746"/>
      <c r="AW2" s="746"/>
      <c r="AX2" s="741" t="s">
        <v>225</v>
      </c>
      <c r="AY2" s="741"/>
      <c r="AZ2" s="741"/>
      <c r="BA2" s="741"/>
      <c r="BB2" s="741"/>
      <c r="BC2" s="741"/>
      <c r="BD2" s="741"/>
      <c r="BE2" s="741" t="s">
        <v>226</v>
      </c>
      <c r="BF2" s="741"/>
      <c r="BG2" s="741"/>
      <c r="BH2" s="742"/>
      <c r="BI2" s="741"/>
      <c r="BJ2" s="741"/>
      <c r="BK2" s="741"/>
      <c r="BL2" s="741" t="s">
        <v>227</v>
      </c>
      <c r="BM2" s="741"/>
      <c r="BN2" s="741"/>
      <c r="BO2" s="742"/>
      <c r="BP2" s="741"/>
      <c r="BQ2" s="741"/>
      <c r="BR2" s="741"/>
      <c r="BS2" s="743" t="s">
        <v>228</v>
      </c>
      <c r="BT2" s="743"/>
      <c r="BU2" s="743"/>
      <c r="BV2" s="741"/>
      <c r="BW2" s="741"/>
      <c r="BX2" s="741"/>
      <c r="BY2" s="741"/>
      <c r="BZ2" s="741" t="s">
        <v>229</v>
      </c>
      <c r="CA2" s="741"/>
      <c r="CB2" s="741"/>
      <c r="CC2" s="741"/>
      <c r="CD2" s="741"/>
      <c r="CE2" s="741"/>
      <c r="CF2" s="741"/>
      <c r="CG2" s="741" t="s">
        <v>230</v>
      </c>
      <c r="CH2" s="741"/>
      <c r="CI2" s="741"/>
      <c r="CJ2" s="741"/>
      <c r="CK2" s="741"/>
      <c r="CL2" s="741"/>
      <c r="CM2" s="741"/>
    </row>
    <row r="3" spans="1:91" ht="57" customHeight="1">
      <c r="A3" s="735"/>
      <c r="B3" s="729"/>
      <c r="C3" s="47" t="s">
        <v>4</v>
      </c>
      <c r="D3" s="47" t="s">
        <v>231</v>
      </c>
      <c r="E3" s="48" t="s">
        <v>232</v>
      </c>
      <c r="F3" s="49" t="s">
        <v>233</v>
      </c>
      <c r="G3" s="50" t="s">
        <v>234</v>
      </c>
      <c r="H3" s="46" t="s">
        <v>74</v>
      </c>
      <c r="I3" s="46" t="s">
        <v>7</v>
      </c>
      <c r="J3" s="48" t="s">
        <v>9</v>
      </c>
      <c r="K3" s="50" t="s">
        <v>8</v>
      </c>
      <c r="L3" s="51" t="s">
        <v>235</v>
      </c>
      <c r="M3" s="50" t="s">
        <v>236</v>
      </c>
      <c r="N3" s="50" t="s">
        <v>237</v>
      </c>
      <c r="O3" s="46" t="s">
        <v>74</v>
      </c>
      <c r="P3" s="46" t="s">
        <v>7</v>
      </c>
      <c r="Q3" s="48" t="s">
        <v>9</v>
      </c>
      <c r="R3" s="50" t="s">
        <v>8</v>
      </c>
      <c r="S3" s="51" t="s">
        <v>235</v>
      </c>
      <c r="T3" s="50" t="s">
        <v>236</v>
      </c>
      <c r="U3" s="50" t="s">
        <v>237</v>
      </c>
      <c r="V3" s="46" t="s">
        <v>74</v>
      </c>
      <c r="W3" s="46" t="s">
        <v>7</v>
      </c>
      <c r="X3" s="48" t="s">
        <v>9</v>
      </c>
      <c r="Y3" s="50" t="s">
        <v>8</v>
      </c>
      <c r="Z3" s="50" t="s">
        <v>235</v>
      </c>
      <c r="AA3" s="50" t="s">
        <v>236</v>
      </c>
      <c r="AB3" s="48" t="s">
        <v>237</v>
      </c>
      <c r="AC3" s="46" t="s">
        <v>74</v>
      </c>
      <c r="AD3" s="46" t="s">
        <v>7</v>
      </c>
      <c r="AE3" s="48" t="s">
        <v>9</v>
      </c>
      <c r="AF3" s="50" t="s">
        <v>8</v>
      </c>
      <c r="AG3" s="50" t="s">
        <v>235</v>
      </c>
      <c r="AH3" s="50" t="s">
        <v>236</v>
      </c>
      <c r="AI3" s="48" t="s">
        <v>237</v>
      </c>
      <c r="AJ3" s="46" t="s">
        <v>74</v>
      </c>
      <c r="AK3" s="46" t="s">
        <v>7</v>
      </c>
      <c r="AL3" s="48" t="s">
        <v>9</v>
      </c>
      <c r="AM3" s="50" t="s">
        <v>8</v>
      </c>
      <c r="AN3" s="50" t="s">
        <v>235</v>
      </c>
      <c r="AO3" s="50" t="s">
        <v>236</v>
      </c>
      <c r="AP3" s="48" t="s">
        <v>237</v>
      </c>
      <c r="AQ3" s="46" t="s">
        <v>74</v>
      </c>
      <c r="AR3" s="46" t="s">
        <v>7</v>
      </c>
      <c r="AS3" s="48" t="s">
        <v>9</v>
      </c>
      <c r="AT3" s="50" t="s">
        <v>8</v>
      </c>
      <c r="AU3" s="50" t="s">
        <v>235</v>
      </c>
      <c r="AV3" s="50" t="s">
        <v>236</v>
      </c>
      <c r="AW3" s="48" t="s">
        <v>237</v>
      </c>
      <c r="AX3" s="46" t="s">
        <v>74</v>
      </c>
      <c r="AY3" s="46" t="s">
        <v>7</v>
      </c>
      <c r="AZ3" s="48" t="s">
        <v>9</v>
      </c>
      <c r="BA3" s="50" t="s">
        <v>8</v>
      </c>
      <c r="BB3" s="50" t="s">
        <v>235</v>
      </c>
      <c r="BC3" s="50" t="s">
        <v>236</v>
      </c>
      <c r="BD3" s="48" t="s">
        <v>237</v>
      </c>
      <c r="BE3" s="46" t="s">
        <v>74</v>
      </c>
      <c r="BF3" s="46" t="s">
        <v>7</v>
      </c>
      <c r="BG3" s="48" t="s">
        <v>9</v>
      </c>
      <c r="BH3" s="50" t="s">
        <v>8</v>
      </c>
      <c r="BI3" s="50" t="s">
        <v>235</v>
      </c>
      <c r="BJ3" s="50" t="s">
        <v>236</v>
      </c>
      <c r="BK3" s="48" t="s">
        <v>237</v>
      </c>
      <c r="BL3" s="46" t="s">
        <v>74</v>
      </c>
      <c r="BM3" s="46" t="s">
        <v>7</v>
      </c>
      <c r="BN3" s="48" t="s">
        <v>9</v>
      </c>
      <c r="BO3" s="50" t="s">
        <v>8</v>
      </c>
      <c r="BP3" s="50" t="s">
        <v>235</v>
      </c>
      <c r="BQ3" s="50" t="s">
        <v>236</v>
      </c>
      <c r="BR3" s="48" t="s">
        <v>237</v>
      </c>
      <c r="BS3" s="52" t="s">
        <v>74</v>
      </c>
      <c r="BT3" s="52" t="s">
        <v>7</v>
      </c>
      <c r="BU3" s="53" t="s">
        <v>9</v>
      </c>
      <c r="BV3" s="50" t="s">
        <v>8</v>
      </c>
      <c r="BW3" s="50" t="s">
        <v>235</v>
      </c>
      <c r="BX3" s="50" t="s">
        <v>236</v>
      </c>
      <c r="BY3" s="48" t="s">
        <v>237</v>
      </c>
      <c r="BZ3" s="46" t="s">
        <v>74</v>
      </c>
      <c r="CA3" s="46" t="s">
        <v>7</v>
      </c>
      <c r="CB3" s="48" t="s">
        <v>9</v>
      </c>
      <c r="CC3" s="50" t="s">
        <v>8</v>
      </c>
      <c r="CD3" s="50" t="s">
        <v>235</v>
      </c>
      <c r="CE3" s="50" t="s">
        <v>236</v>
      </c>
      <c r="CF3" s="48" t="s">
        <v>237</v>
      </c>
      <c r="CG3" s="46" t="s">
        <v>74</v>
      </c>
      <c r="CH3" s="46" t="s">
        <v>7</v>
      </c>
      <c r="CI3" s="48" t="s">
        <v>9</v>
      </c>
      <c r="CJ3" s="50" t="s">
        <v>8</v>
      </c>
      <c r="CK3" s="50" t="s">
        <v>235</v>
      </c>
      <c r="CL3" s="50" t="s">
        <v>236</v>
      </c>
      <c r="CM3" s="48" t="s">
        <v>237</v>
      </c>
    </row>
    <row r="4" spans="1:91" s="30" customFormat="1" ht="23.25" customHeight="1">
      <c r="A4" s="725" t="s">
        <v>238</v>
      </c>
      <c r="B4" s="54" t="s">
        <v>82</v>
      </c>
      <c r="C4" s="55" t="s">
        <v>15</v>
      </c>
      <c r="D4" s="56">
        <v>117533700</v>
      </c>
      <c r="E4" s="57">
        <v>115108438.88</v>
      </c>
      <c r="F4" s="57">
        <f>J4+Q4+X4+AE4+AL4+AS4+AZ4+BG4+BN4+BU4+CB4+CI4</f>
        <v>18979032.280000001</v>
      </c>
      <c r="G4" s="58">
        <f t="shared" ref="G4:G7" si="0">F4/E4</f>
        <v>0.16487959062485</v>
      </c>
      <c r="H4" s="57">
        <v>8976177.1600000001</v>
      </c>
      <c r="I4" s="57">
        <v>8976177.1600000001</v>
      </c>
      <c r="J4" s="57">
        <f>威高广场1月实际!I3</f>
        <v>9617216.9499999993</v>
      </c>
      <c r="K4" s="58">
        <f>J4/$J$16</f>
        <v>0.455006583747539</v>
      </c>
      <c r="L4" s="57">
        <f t="shared" ref="L4:L17" si="1">J4-I4</f>
        <v>641039.78999999899</v>
      </c>
      <c r="M4" s="59">
        <f>J4/I4</f>
        <v>1.07141567936701</v>
      </c>
      <c r="N4" s="59">
        <f>J4/H4</f>
        <v>1.07141567936701</v>
      </c>
      <c r="O4" s="57">
        <f>威高广场2月实际!F3</f>
        <v>9150810.0700000003</v>
      </c>
      <c r="P4" s="57">
        <f>威高广场2月实际!G3</f>
        <v>9150810.0700000003</v>
      </c>
      <c r="Q4" s="57">
        <f>威高广场2月实际!I3</f>
        <v>9361815.3300000001</v>
      </c>
      <c r="R4" s="59"/>
      <c r="S4" s="57">
        <f>威高广场2月实际!K3</f>
        <v>211005.26</v>
      </c>
      <c r="T4" s="59">
        <f>Q4/P4</f>
        <v>1.0230586427196999</v>
      </c>
      <c r="U4" s="59">
        <f>Q4/O4</f>
        <v>1.0230586427196999</v>
      </c>
      <c r="V4" s="57">
        <f>威高广场3月实际!F3</f>
        <v>10060063.42</v>
      </c>
      <c r="W4" s="57">
        <f>威高广场3月实际!G3</f>
        <v>10060063.42</v>
      </c>
      <c r="X4" s="60"/>
      <c r="Y4" s="59"/>
      <c r="Z4" s="59"/>
      <c r="AA4" s="59"/>
      <c r="AB4" s="60"/>
      <c r="AC4" s="61"/>
      <c r="AD4" s="61"/>
      <c r="AE4" s="60"/>
      <c r="AF4" s="59"/>
      <c r="AG4" s="59"/>
      <c r="AH4" s="59"/>
      <c r="AI4" s="60"/>
      <c r="AJ4" s="61"/>
      <c r="AK4" s="61"/>
      <c r="AL4" s="60"/>
      <c r="AM4" s="59"/>
      <c r="AN4" s="59"/>
      <c r="AO4" s="59"/>
      <c r="AP4" s="60"/>
      <c r="AQ4" s="61"/>
      <c r="AR4" s="61"/>
      <c r="AS4" s="60"/>
      <c r="AT4" s="59"/>
      <c r="AU4" s="59"/>
      <c r="AV4" s="59"/>
      <c r="AW4" s="60"/>
      <c r="AX4" s="62"/>
      <c r="AY4" s="62"/>
      <c r="AZ4" s="63"/>
      <c r="BA4" s="64"/>
      <c r="BB4" s="65"/>
      <c r="BC4" s="64"/>
      <c r="BD4" s="64"/>
      <c r="BE4" s="62"/>
      <c r="BF4" s="62"/>
      <c r="BG4" s="63"/>
      <c r="BH4" s="59"/>
      <c r="BI4" s="65"/>
      <c r="BJ4" s="64"/>
      <c r="BK4" s="64"/>
      <c r="BL4" s="66"/>
      <c r="BM4" s="66"/>
      <c r="BN4" s="67"/>
      <c r="BO4" s="59"/>
      <c r="BP4" s="65"/>
      <c r="BQ4" s="64"/>
      <c r="BR4" s="64"/>
      <c r="BS4" s="68"/>
      <c r="BT4" s="68"/>
      <c r="BU4" s="69"/>
      <c r="BV4" s="70"/>
      <c r="BW4" s="71"/>
      <c r="BX4" s="70"/>
      <c r="BY4" s="70"/>
      <c r="BZ4" s="72"/>
      <c r="CA4" s="72"/>
      <c r="CB4" s="73"/>
      <c r="CC4" s="70"/>
      <c r="CD4" s="71"/>
      <c r="CE4" s="70"/>
      <c r="CF4" s="70"/>
      <c r="CG4" s="72"/>
      <c r="CH4" s="72"/>
      <c r="CI4" s="73"/>
      <c r="CJ4" s="70" t="e">
        <f t="shared" ref="CJ4:CJ6" si="2">CI4/$AZ$16</f>
        <v>#DIV/0!</v>
      </c>
      <c r="CK4" s="71">
        <f t="shared" ref="CK4:CK6" si="3">CI4-CH4</f>
        <v>0</v>
      </c>
      <c r="CL4" s="70" t="e">
        <f t="shared" ref="CL4:CL6" si="4">CI4/CH4</f>
        <v>#DIV/0!</v>
      </c>
      <c r="CM4" s="70" t="e">
        <f t="shared" ref="CM4:CM6" si="5">CI4/CG4</f>
        <v>#DIV/0!</v>
      </c>
    </row>
    <row r="5" spans="1:91" s="31" customFormat="1" ht="23.25" customHeight="1">
      <c r="A5" s="726"/>
      <c r="B5" s="74" t="s">
        <v>83</v>
      </c>
      <c r="C5" s="75" t="s">
        <v>18</v>
      </c>
      <c r="D5" s="56">
        <v>42491600</v>
      </c>
      <c r="E5" s="57">
        <v>42494624.460000001</v>
      </c>
      <c r="F5" s="57">
        <f>J5+Q5+X5+AE5+AL5+AS5+AZ5+BG5+BN5+BU5+CB5+CI5</f>
        <v>6965524.9800000004</v>
      </c>
      <c r="G5" s="58">
        <f t="shared" si="0"/>
        <v>0.163915437976317</v>
      </c>
      <c r="H5" s="57">
        <v>3340552.59</v>
      </c>
      <c r="I5" s="57">
        <v>3340552.59</v>
      </c>
      <c r="J5" s="57">
        <f>威高广场1月实际!I4</f>
        <v>3441935.94</v>
      </c>
      <c r="K5" s="58">
        <f t="shared" ref="K5:K15" si="6">J5/$J$16</f>
        <v>0.162843733450068</v>
      </c>
      <c r="L5" s="57">
        <f t="shared" si="1"/>
        <v>101383.35</v>
      </c>
      <c r="M5" s="59">
        <f t="shared" ref="M5:M15" si="7">J5/I5</f>
        <v>1.0303492752377199</v>
      </c>
      <c r="N5" s="59">
        <f t="shared" ref="N5:N15" si="8">J5/H5</f>
        <v>1.0303492752377199</v>
      </c>
      <c r="O5" s="57">
        <f>威高广场2月实际!F4</f>
        <v>2946632.83</v>
      </c>
      <c r="P5" s="57">
        <f>威高广场2月实际!G4</f>
        <v>2946632.83</v>
      </c>
      <c r="Q5" s="57">
        <f>威高广场2月实际!I4</f>
        <v>3523589.04</v>
      </c>
      <c r="R5" s="76"/>
      <c r="S5" s="57">
        <f>威高广场2月实际!K4</f>
        <v>576956.21</v>
      </c>
      <c r="T5" s="59">
        <f t="shared" ref="T5:T17" si="9">Q5/P5</f>
        <v>1.1958018671773201</v>
      </c>
      <c r="U5" s="59">
        <f t="shared" ref="U5:U17" si="10">Q5/O5</f>
        <v>1.1958018671773201</v>
      </c>
      <c r="V5" s="57">
        <f>威高广场3月实际!F4</f>
        <v>4466249.87</v>
      </c>
      <c r="W5" s="57">
        <f>威高广场3月实际!G4</f>
        <v>4466249.87</v>
      </c>
      <c r="X5" s="77"/>
      <c r="Y5" s="76"/>
      <c r="Z5" s="76"/>
      <c r="AA5" s="76"/>
      <c r="AB5" s="77"/>
      <c r="AC5" s="78"/>
      <c r="AD5" s="78"/>
      <c r="AE5" s="77"/>
      <c r="AF5" s="76"/>
      <c r="AG5" s="76"/>
      <c r="AH5" s="76"/>
      <c r="AI5" s="77"/>
      <c r="AJ5" s="78"/>
      <c r="AK5" s="78"/>
      <c r="AL5" s="77"/>
      <c r="AM5" s="76"/>
      <c r="AN5" s="76"/>
      <c r="AO5" s="76"/>
      <c r="AP5" s="77"/>
      <c r="AQ5" s="78"/>
      <c r="AR5" s="78"/>
      <c r="AS5" s="77"/>
      <c r="AT5" s="76"/>
      <c r="AU5" s="76"/>
      <c r="AV5" s="76"/>
      <c r="AW5" s="77"/>
      <c r="AX5" s="79"/>
      <c r="AY5" s="79"/>
      <c r="AZ5" s="80"/>
      <c r="BA5" s="64"/>
      <c r="BB5" s="65"/>
      <c r="BC5" s="64"/>
      <c r="BD5" s="64"/>
      <c r="BE5" s="79"/>
      <c r="BF5" s="79"/>
      <c r="BG5" s="80"/>
      <c r="BH5" s="59"/>
      <c r="BI5" s="65"/>
      <c r="BJ5" s="64"/>
      <c r="BK5" s="64"/>
      <c r="BL5" s="66"/>
      <c r="BM5" s="66"/>
      <c r="BN5" s="67"/>
      <c r="BO5" s="59"/>
      <c r="BP5" s="65"/>
      <c r="BQ5" s="64"/>
      <c r="BR5" s="64"/>
      <c r="BS5" s="68"/>
      <c r="BT5" s="68"/>
      <c r="BU5" s="69"/>
      <c r="BV5" s="70"/>
      <c r="BW5" s="71"/>
      <c r="BX5" s="70"/>
      <c r="BY5" s="70"/>
      <c r="BZ5" s="72"/>
      <c r="CA5" s="72"/>
      <c r="CB5" s="81"/>
      <c r="CC5" s="70"/>
      <c r="CD5" s="71"/>
      <c r="CE5" s="70"/>
      <c r="CF5" s="70"/>
      <c r="CG5" s="82"/>
      <c r="CH5" s="82"/>
      <c r="CI5" s="81"/>
      <c r="CJ5" s="70" t="e">
        <f t="shared" si="2"/>
        <v>#DIV/0!</v>
      </c>
      <c r="CK5" s="71">
        <f t="shared" si="3"/>
        <v>0</v>
      </c>
      <c r="CL5" s="70" t="e">
        <f t="shared" si="4"/>
        <v>#DIV/0!</v>
      </c>
      <c r="CM5" s="70" t="e">
        <f t="shared" si="5"/>
        <v>#DIV/0!</v>
      </c>
    </row>
    <row r="6" spans="1:91" s="31" customFormat="1" ht="23.25" customHeight="1">
      <c r="A6" s="726"/>
      <c r="B6" s="74" t="s">
        <v>84</v>
      </c>
      <c r="C6" s="75" t="s">
        <v>20</v>
      </c>
      <c r="D6" s="56">
        <v>36293300</v>
      </c>
      <c r="E6" s="57">
        <v>35155290.259999998</v>
      </c>
      <c r="F6" s="57">
        <f>J6+Q6+X6+AE6+AL6+AS6+AZ6+BG6+BN6+BU6+CB6+CI6</f>
        <v>5047496.9000000004</v>
      </c>
      <c r="G6" s="58">
        <f t="shared" si="0"/>
        <v>0.14357716470750001</v>
      </c>
      <c r="H6" s="57">
        <v>2566157.86</v>
      </c>
      <c r="I6" s="57">
        <v>2566157.86</v>
      </c>
      <c r="J6" s="57">
        <f>威高广场1月实际!I5</f>
        <v>2563456.5099999998</v>
      </c>
      <c r="K6" s="58">
        <f t="shared" si="6"/>
        <v>0.121281405552621</v>
      </c>
      <c r="L6" s="57">
        <f t="shared" si="1"/>
        <v>-2701.3500000000899</v>
      </c>
      <c r="M6" s="59">
        <f t="shared" si="7"/>
        <v>0.99894731729403397</v>
      </c>
      <c r="N6" s="59">
        <f t="shared" si="8"/>
        <v>0.99894731729403397</v>
      </c>
      <c r="O6" s="57">
        <f>威高广场2月实际!F5</f>
        <v>2586876.08</v>
      </c>
      <c r="P6" s="57">
        <f>威高广场2月实际!G5</f>
        <v>2586876.08</v>
      </c>
      <c r="Q6" s="57">
        <f>威高广场2月实际!I5</f>
        <v>2484040.39</v>
      </c>
      <c r="R6" s="76"/>
      <c r="S6" s="57">
        <f>威高广场2月实际!K5</f>
        <v>-102835.69</v>
      </c>
      <c r="T6" s="59">
        <f t="shared" si="9"/>
        <v>0.96024715261969595</v>
      </c>
      <c r="U6" s="59">
        <f t="shared" si="10"/>
        <v>0.96024715261969595</v>
      </c>
      <c r="V6" s="57">
        <f>威高广场3月实际!F5</f>
        <v>2277375.77</v>
      </c>
      <c r="W6" s="57">
        <f>威高广场3月实际!G5</f>
        <v>2277375.77</v>
      </c>
      <c r="X6" s="77"/>
      <c r="Y6" s="76"/>
      <c r="Z6" s="76"/>
      <c r="AA6" s="76"/>
      <c r="AB6" s="77"/>
      <c r="AC6" s="78"/>
      <c r="AD6" s="78"/>
      <c r="AE6" s="77"/>
      <c r="AF6" s="76"/>
      <c r="AG6" s="76"/>
      <c r="AH6" s="76"/>
      <c r="AI6" s="77"/>
      <c r="AJ6" s="78"/>
      <c r="AK6" s="78"/>
      <c r="AL6" s="77"/>
      <c r="AM6" s="76"/>
      <c r="AN6" s="76"/>
      <c r="AO6" s="76"/>
      <c r="AP6" s="77"/>
      <c r="AQ6" s="78"/>
      <c r="AR6" s="78"/>
      <c r="AS6" s="77"/>
      <c r="AT6" s="76"/>
      <c r="AU6" s="76"/>
      <c r="AV6" s="76"/>
      <c r="AW6" s="77"/>
      <c r="AX6" s="79"/>
      <c r="AY6" s="79"/>
      <c r="AZ6" s="80"/>
      <c r="BA6" s="64"/>
      <c r="BB6" s="65"/>
      <c r="BC6" s="64"/>
      <c r="BD6" s="64"/>
      <c r="BE6" s="79"/>
      <c r="BF6" s="79"/>
      <c r="BG6" s="80"/>
      <c r="BH6" s="59"/>
      <c r="BI6" s="65"/>
      <c r="BJ6" s="64"/>
      <c r="BK6" s="64"/>
      <c r="BL6" s="66"/>
      <c r="BM6" s="66"/>
      <c r="BN6" s="67"/>
      <c r="BO6" s="59"/>
      <c r="BP6" s="65"/>
      <c r="BQ6" s="64"/>
      <c r="BR6" s="64"/>
      <c r="BS6" s="68"/>
      <c r="BT6" s="68"/>
      <c r="BU6" s="69"/>
      <c r="BV6" s="70"/>
      <c r="BW6" s="71"/>
      <c r="BX6" s="70"/>
      <c r="BY6" s="70"/>
      <c r="BZ6" s="72"/>
      <c r="CA6" s="72"/>
      <c r="CB6" s="81"/>
      <c r="CC6" s="70"/>
      <c r="CD6" s="71"/>
      <c r="CE6" s="70"/>
      <c r="CF6" s="70"/>
      <c r="CG6" s="82"/>
      <c r="CH6" s="82"/>
      <c r="CI6" s="81"/>
      <c r="CJ6" s="70" t="e">
        <f t="shared" si="2"/>
        <v>#DIV/0!</v>
      </c>
      <c r="CK6" s="71">
        <f t="shared" si="3"/>
        <v>0</v>
      </c>
      <c r="CL6" s="70" t="e">
        <f t="shared" si="4"/>
        <v>#DIV/0!</v>
      </c>
      <c r="CM6" s="70" t="e">
        <f t="shared" si="5"/>
        <v>#DIV/0!</v>
      </c>
    </row>
    <row r="7" spans="1:91" s="31" customFormat="1" ht="23.25" customHeight="1">
      <c r="A7" s="726"/>
      <c r="B7" s="83" t="s">
        <v>239</v>
      </c>
      <c r="C7" s="84"/>
      <c r="D7" s="85">
        <f>SUM(D4:D6)</f>
        <v>196318600</v>
      </c>
      <c r="E7" s="86">
        <f t="shared" ref="E7:J7" si="11">SUM(E4:E6)</f>
        <v>192758353.59999999</v>
      </c>
      <c r="F7" s="87">
        <f t="shared" ref="F7:F15" si="12">J7+Q7+X7+AE7+AL7+AS7+AZ7+BG7+BN7+BU7+CB7+CI7</f>
        <v>30992054.16</v>
      </c>
      <c r="G7" s="88">
        <f t="shared" si="0"/>
        <v>0.16078189910416399</v>
      </c>
      <c r="H7" s="86">
        <f t="shared" si="11"/>
        <v>14882887.609999999</v>
      </c>
      <c r="I7" s="86">
        <f t="shared" si="11"/>
        <v>14882887.609999999</v>
      </c>
      <c r="J7" s="87">
        <f t="shared" si="11"/>
        <v>15622609.4</v>
      </c>
      <c r="K7" s="58">
        <f t="shared" si="6"/>
        <v>0.73913172275022698</v>
      </c>
      <c r="L7" s="87">
        <f t="shared" si="1"/>
        <v>739721.79000000097</v>
      </c>
      <c r="M7" s="89">
        <f t="shared" si="7"/>
        <v>1.0497028405632101</v>
      </c>
      <c r="N7" s="89">
        <f t="shared" si="8"/>
        <v>1.0497028405632101</v>
      </c>
      <c r="O7" s="87">
        <f>SUM(O4:O6)</f>
        <v>14684318.98</v>
      </c>
      <c r="P7" s="87">
        <f>SUM(P4:P6)</f>
        <v>14684318.98</v>
      </c>
      <c r="Q7" s="87">
        <f>威高广场2月实际!I6</f>
        <v>15369444.76</v>
      </c>
      <c r="R7" s="90"/>
      <c r="S7" s="87">
        <f>SUM(S4:S6)</f>
        <v>685125.78</v>
      </c>
      <c r="T7" s="89">
        <f t="shared" si="9"/>
        <v>1.0466569665868199</v>
      </c>
      <c r="U7" s="89">
        <f t="shared" si="10"/>
        <v>1.0466569665868199</v>
      </c>
      <c r="V7" s="87">
        <f>SUM(V4:V6)</f>
        <v>16803689.059999999</v>
      </c>
      <c r="W7" s="57">
        <f>SUM(W4:W6)</f>
        <v>16803689.059999999</v>
      </c>
      <c r="X7" s="77"/>
      <c r="Y7" s="76"/>
      <c r="Z7" s="76"/>
      <c r="AA7" s="76"/>
      <c r="AB7" s="77"/>
      <c r="AC7" s="78"/>
      <c r="AD7" s="78"/>
      <c r="AE7" s="77"/>
      <c r="AF7" s="76"/>
      <c r="AG7" s="76"/>
      <c r="AH7" s="76"/>
      <c r="AI7" s="77"/>
      <c r="AJ7" s="78"/>
      <c r="AK7" s="78"/>
      <c r="AL7" s="77"/>
      <c r="AM7" s="76"/>
      <c r="AN7" s="76"/>
      <c r="AO7" s="76"/>
      <c r="AP7" s="77"/>
      <c r="AQ7" s="78"/>
      <c r="AR7" s="78"/>
      <c r="AS7" s="77"/>
      <c r="AT7" s="76"/>
      <c r="AU7" s="76"/>
      <c r="AV7" s="76"/>
      <c r="AW7" s="77"/>
      <c r="AX7" s="79"/>
      <c r="AY7" s="79"/>
      <c r="AZ7" s="80"/>
      <c r="BA7" s="64"/>
      <c r="BB7" s="65"/>
      <c r="BC7" s="64"/>
      <c r="BD7" s="64"/>
      <c r="BE7" s="79"/>
      <c r="BF7" s="79"/>
      <c r="BG7" s="80"/>
      <c r="BH7" s="59"/>
      <c r="BI7" s="65"/>
      <c r="BJ7" s="64"/>
      <c r="BK7" s="64"/>
      <c r="BL7" s="91"/>
      <c r="BM7" s="91"/>
      <c r="BN7" s="92"/>
      <c r="BO7" s="59"/>
      <c r="BP7" s="65"/>
      <c r="BQ7" s="64"/>
      <c r="BR7" s="64"/>
      <c r="BS7" s="93"/>
      <c r="BT7" s="93"/>
      <c r="BU7" s="69"/>
      <c r="BV7" s="70"/>
      <c r="BW7" s="71"/>
      <c r="BX7" s="70"/>
      <c r="BY7" s="70"/>
      <c r="BZ7" s="72"/>
      <c r="CA7" s="72"/>
      <c r="CB7" s="81"/>
      <c r="CC7" s="70"/>
      <c r="CD7" s="71"/>
      <c r="CE7" s="70"/>
      <c r="CF7" s="70"/>
      <c r="CG7" s="94"/>
      <c r="CH7" s="94"/>
      <c r="CI7" s="95"/>
      <c r="CJ7" s="96"/>
      <c r="CK7" s="97"/>
      <c r="CL7" s="96"/>
      <c r="CM7" s="96"/>
    </row>
    <row r="8" spans="1:91" s="31" customFormat="1" ht="23.25" customHeight="1">
      <c r="A8" s="726"/>
      <c r="B8" s="74" t="s">
        <v>86</v>
      </c>
      <c r="C8" s="55" t="s">
        <v>87</v>
      </c>
      <c r="D8" s="56">
        <v>10812574.6</v>
      </c>
      <c r="E8" s="57">
        <v>10770000</v>
      </c>
      <c r="F8" s="57">
        <f t="shared" si="12"/>
        <v>2086437</v>
      </c>
      <c r="G8" s="58">
        <f t="shared" ref="G8:G25" si="13">F8/E8</f>
        <v>0.19372674094707501</v>
      </c>
      <c r="H8" s="57">
        <v>1177600</v>
      </c>
      <c r="I8" s="57">
        <v>1177600</v>
      </c>
      <c r="J8" s="57">
        <f>威高广场1月实际!I7</f>
        <v>984634</v>
      </c>
      <c r="K8" s="58">
        <f t="shared" si="6"/>
        <v>4.6584677761862703E-2</v>
      </c>
      <c r="L8" s="57">
        <f t="shared" si="1"/>
        <v>-192966</v>
      </c>
      <c r="M8" s="59">
        <f t="shared" si="7"/>
        <v>0.83613620923913001</v>
      </c>
      <c r="N8" s="59">
        <f t="shared" si="8"/>
        <v>0.83613620923913001</v>
      </c>
      <c r="O8" s="57">
        <f>威高广场2月实际!F7</f>
        <v>1347000</v>
      </c>
      <c r="P8" s="57">
        <f>威高广场2月实际!G7</f>
        <v>1347000</v>
      </c>
      <c r="Q8" s="57">
        <f>威高广场2月实际!I7</f>
        <v>1101803</v>
      </c>
      <c r="R8" s="76"/>
      <c r="S8" s="57">
        <f>威高广场2月实际!K7</f>
        <v>-245197</v>
      </c>
      <c r="T8" s="59">
        <f t="shared" si="9"/>
        <v>0.81796807720861198</v>
      </c>
      <c r="U8" s="59">
        <f t="shared" si="10"/>
        <v>0.81796807720861198</v>
      </c>
      <c r="V8" s="57">
        <f>威高广场3月实际!F7</f>
        <v>1015400</v>
      </c>
      <c r="W8" s="57">
        <f>威高广场3月实际!G7</f>
        <v>1015400</v>
      </c>
      <c r="X8" s="77"/>
      <c r="Y8" s="76"/>
      <c r="Z8" s="76"/>
      <c r="AA8" s="76"/>
      <c r="AB8" s="77"/>
      <c r="AC8" s="78"/>
      <c r="AD8" s="78"/>
      <c r="AE8" s="77"/>
      <c r="AF8" s="76"/>
      <c r="AG8" s="76"/>
      <c r="AH8" s="76"/>
      <c r="AI8" s="77"/>
      <c r="AJ8" s="78"/>
      <c r="AK8" s="78"/>
      <c r="AL8" s="77"/>
      <c r="AM8" s="76"/>
      <c r="AN8" s="76"/>
      <c r="AO8" s="76"/>
      <c r="AP8" s="77"/>
      <c r="AQ8" s="78"/>
      <c r="AR8" s="78"/>
      <c r="AS8" s="77"/>
      <c r="AT8" s="76"/>
      <c r="AU8" s="76"/>
      <c r="AV8" s="76"/>
      <c r="AW8" s="77"/>
      <c r="AX8" s="79"/>
      <c r="AY8" s="79"/>
      <c r="AZ8" s="80"/>
      <c r="BA8" s="64"/>
      <c r="BB8" s="65"/>
      <c r="BC8" s="64"/>
      <c r="BD8" s="64"/>
      <c r="BE8" s="79"/>
      <c r="BF8" s="79"/>
      <c r="BG8" s="80"/>
      <c r="BH8" s="59"/>
      <c r="BI8" s="65"/>
      <c r="BJ8" s="64"/>
      <c r="BK8" s="64"/>
      <c r="BL8" s="98"/>
      <c r="BM8" s="98"/>
      <c r="BN8" s="98"/>
      <c r="BO8" s="59"/>
      <c r="BP8" s="65"/>
      <c r="BQ8" s="64"/>
      <c r="BR8" s="64"/>
      <c r="BS8" s="98"/>
      <c r="BT8" s="98"/>
      <c r="BU8" s="69"/>
      <c r="BV8" s="70"/>
      <c r="BW8" s="71"/>
      <c r="BX8" s="70"/>
      <c r="BY8" s="70"/>
      <c r="BZ8" s="72"/>
      <c r="CA8" s="99"/>
      <c r="CB8" s="81"/>
      <c r="CC8" s="70"/>
      <c r="CD8" s="71"/>
      <c r="CE8" s="70"/>
      <c r="CF8" s="70"/>
      <c r="CG8" s="82"/>
      <c r="CH8" s="81"/>
      <c r="CI8" s="81"/>
      <c r="CJ8" s="70" t="e">
        <f t="shared" ref="CJ8:CJ35" si="14">CI8/$AZ$16</f>
        <v>#DIV/0!</v>
      </c>
      <c r="CK8" s="71">
        <f t="shared" ref="CK8:CK43" si="15">CI8-CH8</f>
        <v>0</v>
      </c>
      <c r="CL8" s="70" t="e">
        <f t="shared" ref="CL8:CL43" si="16">CI8/CH8</f>
        <v>#DIV/0!</v>
      </c>
      <c r="CM8" s="70" t="e">
        <f t="shared" ref="CM8:CM43" si="17">CI8/CG8</f>
        <v>#DIV/0!</v>
      </c>
    </row>
    <row r="9" spans="1:91" s="31" customFormat="1" ht="23.25" customHeight="1">
      <c r="A9" s="726"/>
      <c r="B9" s="74" t="s">
        <v>88</v>
      </c>
      <c r="C9" s="75" t="s">
        <v>89</v>
      </c>
      <c r="D9" s="56">
        <v>1946894.81</v>
      </c>
      <c r="E9" s="57">
        <v>2793600</v>
      </c>
      <c r="F9" s="57">
        <f t="shared" si="12"/>
        <v>379863.48</v>
      </c>
      <c r="G9" s="58">
        <f t="shared" si="13"/>
        <v>0.13597633161511999</v>
      </c>
      <c r="H9" s="57">
        <v>385100</v>
      </c>
      <c r="I9" s="57">
        <v>385100</v>
      </c>
      <c r="J9" s="57">
        <f>威高广场1月实际!I8</f>
        <v>740873.15</v>
      </c>
      <c r="K9" s="58">
        <f t="shared" si="6"/>
        <v>3.5051945144252798E-2</v>
      </c>
      <c r="L9" s="57">
        <f t="shared" si="1"/>
        <v>355773.15</v>
      </c>
      <c r="M9" s="59">
        <f t="shared" si="7"/>
        <v>1.92384614385874</v>
      </c>
      <c r="N9" s="59">
        <f t="shared" si="8"/>
        <v>1.92384614385874</v>
      </c>
      <c r="O9" s="57">
        <f>威高广场2月实际!F8</f>
        <v>233700</v>
      </c>
      <c r="P9" s="57">
        <f>威高广场2月实际!G8</f>
        <v>233700</v>
      </c>
      <c r="Q9" s="57">
        <f>威高广场2月实际!I8</f>
        <v>-361009.67</v>
      </c>
      <c r="R9" s="76"/>
      <c r="S9" s="57">
        <f>威高广场2月实际!K8</f>
        <v>-594709.67000000004</v>
      </c>
      <c r="T9" s="59">
        <f t="shared" si="9"/>
        <v>-1.5447568249893</v>
      </c>
      <c r="U9" s="59">
        <f t="shared" si="10"/>
        <v>-1.5447568249893</v>
      </c>
      <c r="V9" s="57">
        <f>威高广场3月实际!F8</f>
        <v>100400</v>
      </c>
      <c r="W9" s="57">
        <f>威高广场3月实际!G8</f>
        <v>100400</v>
      </c>
      <c r="X9" s="77"/>
      <c r="Y9" s="76"/>
      <c r="Z9" s="76"/>
      <c r="AA9" s="76"/>
      <c r="AB9" s="77"/>
      <c r="AC9" s="78"/>
      <c r="AD9" s="78"/>
      <c r="AE9" s="77"/>
      <c r="AF9" s="76"/>
      <c r="AG9" s="76"/>
      <c r="AH9" s="76"/>
      <c r="AI9" s="77"/>
      <c r="AJ9" s="78"/>
      <c r="AK9" s="78"/>
      <c r="AL9" s="77"/>
      <c r="AM9" s="76"/>
      <c r="AN9" s="76"/>
      <c r="AO9" s="76"/>
      <c r="AP9" s="77"/>
      <c r="AQ9" s="78"/>
      <c r="AR9" s="78"/>
      <c r="AS9" s="77"/>
      <c r="AT9" s="76"/>
      <c r="AU9" s="76"/>
      <c r="AV9" s="76"/>
      <c r="AW9" s="77"/>
      <c r="AX9" s="79"/>
      <c r="AY9" s="79"/>
      <c r="AZ9" s="80"/>
      <c r="BA9" s="64"/>
      <c r="BB9" s="65"/>
      <c r="BC9" s="64"/>
      <c r="BD9" s="64"/>
      <c r="BE9" s="79"/>
      <c r="BF9" s="79"/>
      <c r="BG9" s="67"/>
      <c r="BH9" s="59"/>
      <c r="BI9" s="65"/>
      <c r="BJ9" s="64"/>
      <c r="BK9" s="64"/>
      <c r="BL9" s="66"/>
      <c r="BM9" s="66"/>
      <c r="BN9" s="67"/>
      <c r="BO9" s="59"/>
      <c r="BP9" s="65"/>
      <c r="BQ9" s="64"/>
      <c r="BR9" s="64"/>
      <c r="BS9" s="68"/>
      <c r="BT9" s="68"/>
      <c r="BU9" s="69"/>
      <c r="BV9" s="70"/>
      <c r="BW9" s="71"/>
      <c r="BX9" s="70"/>
      <c r="BY9" s="70"/>
      <c r="BZ9" s="72"/>
      <c r="CA9" s="72"/>
      <c r="CB9" s="81"/>
      <c r="CC9" s="70"/>
      <c r="CD9" s="71"/>
      <c r="CE9" s="70"/>
      <c r="CF9" s="70"/>
      <c r="CG9" s="82"/>
      <c r="CH9" s="82"/>
      <c r="CI9" s="81"/>
      <c r="CJ9" s="70" t="e">
        <f t="shared" si="14"/>
        <v>#DIV/0!</v>
      </c>
      <c r="CK9" s="71">
        <f t="shared" si="15"/>
        <v>0</v>
      </c>
      <c r="CL9" s="70" t="e">
        <f t="shared" si="16"/>
        <v>#DIV/0!</v>
      </c>
      <c r="CM9" s="70" t="e">
        <f t="shared" si="17"/>
        <v>#DIV/0!</v>
      </c>
    </row>
    <row r="10" spans="1:91" s="31" customFormat="1" ht="23.25" customHeight="1">
      <c r="A10" s="726"/>
      <c r="B10" s="74" t="s">
        <v>90</v>
      </c>
      <c r="C10" s="75" t="s">
        <v>91</v>
      </c>
      <c r="D10" s="56">
        <v>4141700</v>
      </c>
      <c r="E10" s="57">
        <v>4327900</v>
      </c>
      <c r="F10" s="57">
        <f t="shared" si="12"/>
        <v>791400</v>
      </c>
      <c r="G10" s="58">
        <f t="shared" si="13"/>
        <v>0.18286004759814201</v>
      </c>
      <c r="H10" s="57">
        <v>382300</v>
      </c>
      <c r="I10" s="57">
        <v>390000</v>
      </c>
      <c r="J10" s="57">
        <f>威高广场1月实际!I9</f>
        <v>358800</v>
      </c>
      <c r="K10" s="58">
        <f t="shared" si="6"/>
        <v>1.6975426788996099E-2</v>
      </c>
      <c r="L10" s="57">
        <f t="shared" si="1"/>
        <v>-31200</v>
      </c>
      <c r="M10" s="59">
        <f t="shared" si="7"/>
        <v>0.92</v>
      </c>
      <c r="N10" s="59">
        <f t="shared" si="8"/>
        <v>0.93852995030081099</v>
      </c>
      <c r="O10" s="57">
        <f>威高广场2月实际!F9</f>
        <v>473000</v>
      </c>
      <c r="P10" s="57">
        <f>威高广场2月实际!G9</f>
        <v>473000</v>
      </c>
      <c r="Q10" s="57">
        <f>威高广场2月实际!I9</f>
        <v>432600</v>
      </c>
      <c r="R10" s="76"/>
      <c r="S10" s="57">
        <f>威高广场2月实际!K9</f>
        <v>-40400</v>
      </c>
      <c r="T10" s="59">
        <f t="shared" si="9"/>
        <v>0.91458773784355196</v>
      </c>
      <c r="U10" s="59">
        <f t="shared" si="10"/>
        <v>0.91458773784355196</v>
      </c>
      <c r="V10" s="57">
        <f>威高广场3月实际!F9</f>
        <v>294000</v>
      </c>
      <c r="W10" s="57">
        <f>威高广场3月实际!G9</f>
        <v>294000</v>
      </c>
      <c r="X10" s="77"/>
      <c r="Y10" s="76"/>
      <c r="Z10" s="76"/>
      <c r="AA10" s="76"/>
      <c r="AB10" s="77"/>
      <c r="AC10" s="78"/>
      <c r="AD10" s="78"/>
      <c r="AE10" s="77"/>
      <c r="AF10" s="76"/>
      <c r="AG10" s="76"/>
      <c r="AH10" s="76"/>
      <c r="AI10" s="77"/>
      <c r="AJ10" s="78"/>
      <c r="AK10" s="78"/>
      <c r="AL10" s="77"/>
      <c r="AM10" s="76"/>
      <c r="AN10" s="76"/>
      <c r="AO10" s="76"/>
      <c r="AP10" s="77"/>
      <c r="AQ10" s="78"/>
      <c r="AR10" s="78"/>
      <c r="AS10" s="77"/>
      <c r="AT10" s="76"/>
      <c r="AU10" s="76"/>
      <c r="AV10" s="76"/>
      <c r="AW10" s="77"/>
      <c r="AX10" s="79"/>
      <c r="AY10" s="79"/>
      <c r="AZ10" s="80"/>
      <c r="BA10" s="64"/>
      <c r="BB10" s="65"/>
      <c r="BC10" s="64"/>
      <c r="BD10" s="64"/>
      <c r="BE10" s="79"/>
      <c r="BF10" s="79"/>
      <c r="BG10" s="80"/>
      <c r="BH10" s="59"/>
      <c r="BI10" s="65"/>
      <c r="BJ10" s="64"/>
      <c r="BK10" s="64"/>
      <c r="BL10" s="79"/>
      <c r="BM10" s="79"/>
      <c r="BN10" s="80"/>
      <c r="BO10" s="59"/>
      <c r="BP10" s="65"/>
      <c r="BQ10" s="64"/>
      <c r="BR10" s="64"/>
      <c r="BS10" s="68"/>
      <c r="BT10" s="68"/>
      <c r="BU10" s="69"/>
      <c r="BV10" s="70"/>
      <c r="BW10" s="71"/>
      <c r="BX10" s="70"/>
      <c r="BY10" s="70"/>
      <c r="BZ10" s="72"/>
      <c r="CA10" s="72"/>
      <c r="CB10" s="81"/>
      <c r="CC10" s="70"/>
      <c r="CD10" s="71"/>
      <c r="CE10" s="70"/>
      <c r="CF10" s="70"/>
      <c r="CG10" s="82"/>
      <c r="CH10" s="82"/>
      <c r="CI10" s="81"/>
      <c r="CJ10" s="70"/>
      <c r="CK10" s="71"/>
      <c r="CL10" s="70"/>
      <c r="CM10" s="70"/>
    </row>
    <row r="11" spans="1:91" s="31" customFormat="1" ht="23.25" customHeight="1">
      <c r="A11" s="726"/>
      <c r="B11" s="74" t="s">
        <v>92</v>
      </c>
      <c r="C11" s="55" t="s">
        <v>93</v>
      </c>
      <c r="D11" s="56">
        <v>5768603</v>
      </c>
      <c r="E11" s="57">
        <v>5981400</v>
      </c>
      <c r="F11" s="57">
        <f t="shared" si="12"/>
        <v>867300</v>
      </c>
      <c r="G11" s="58">
        <f t="shared" si="13"/>
        <v>0.14499949844518001</v>
      </c>
      <c r="H11" s="57">
        <v>455800</v>
      </c>
      <c r="I11" s="57">
        <v>455800</v>
      </c>
      <c r="J11" s="57">
        <f>威高广场1月实际!I10</f>
        <v>434300</v>
      </c>
      <c r="K11" s="58">
        <f t="shared" si="6"/>
        <v>2.0547457788352801E-2</v>
      </c>
      <c r="L11" s="57">
        <f t="shared" si="1"/>
        <v>-21500</v>
      </c>
      <c r="M11" s="59">
        <f t="shared" si="7"/>
        <v>0.95283018867924496</v>
      </c>
      <c r="N11" s="59">
        <f t="shared" si="8"/>
        <v>0.95283018867924496</v>
      </c>
      <c r="O11" s="57">
        <v>459300</v>
      </c>
      <c r="P11" s="57">
        <f>威高广场2月实际!G10</f>
        <v>459300</v>
      </c>
      <c r="Q11" s="57">
        <f>威高广场2月实际!I10</f>
        <v>433000</v>
      </c>
      <c r="R11" s="76"/>
      <c r="S11" s="57">
        <f>威高广场2月实际!K10</f>
        <v>-26300</v>
      </c>
      <c r="T11" s="59">
        <f t="shared" si="9"/>
        <v>0.942738950576965</v>
      </c>
      <c r="U11" s="59">
        <f t="shared" si="10"/>
        <v>0.942738950576965</v>
      </c>
      <c r="V11" s="57">
        <f>威高广场3月实际!F10</f>
        <v>459300</v>
      </c>
      <c r="W11" s="57">
        <f>威高广场3月实际!G10</f>
        <v>459300</v>
      </c>
      <c r="X11" s="77"/>
      <c r="Y11" s="76"/>
      <c r="Z11" s="76"/>
      <c r="AA11" s="76"/>
      <c r="AB11" s="77"/>
      <c r="AC11" s="78"/>
      <c r="AD11" s="78"/>
      <c r="AE11" s="77"/>
      <c r="AF11" s="76"/>
      <c r="AG11" s="76"/>
      <c r="AH11" s="76"/>
      <c r="AI11" s="77"/>
      <c r="AJ11" s="78"/>
      <c r="AK11" s="78"/>
      <c r="AL11" s="77"/>
      <c r="AM11" s="76"/>
      <c r="AN11" s="76"/>
      <c r="AO11" s="76"/>
      <c r="AP11" s="77"/>
      <c r="AQ11" s="78"/>
      <c r="AR11" s="78"/>
      <c r="AS11" s="77"/>
      <c r="AT11" s="76"/>
      <c r="AU11" s="76"/>
      <c r="AV11" s="76"/>
      <c r="AW11" s="77"/>
      <c r="AX11" s="79"/>
      <c r="AY11" s="79"/>
      <c r="AZ11" s="80"/>
      <c r="BA11" s="64"/>
      <c r="BB11" s="65"/>
      <c r="BC11" s="64"/>
      <c r="BD11" s="64"/>
      <c r="BE11" s="79"/>
      <c r="BF11" s="79"/>
      <c r="BG11" s="80"/>
      <c r="BH11" s="59"/>
      <c r="BI11" s="65"/>
      <c r="BJ11" s="64"/>
      <c r="BK11" s="64"/>
      <c r="BL11" s="79"/>
      <c r="BM11" s="79"/>
      <c r="BN11" s="100"/>
      <c r="BO11" s="59"/>
      <c r="BP11" s="65"/>
      <c r="BQ11" s="64"/>
      <c r="BR11" s="64"/>
      <c r="BS11" s="101"/>
      <c r="BT11" s="101"/>
      <c r="BU11" s="69"/>
      <c r="BV11" s="70"/>
      <c r="BW11" s="71"/>
      <c r="BX11" s="70"/>
      <c r="BY11" s="70"/>
      <c r="BZ11" s="72"/>
      <c r="CA11" s="72"/>
      <c r="CB11" s="81"/>
      <c r="CC11" s="70"/>
      <c r="CD11" s="71"/>
      <c r="CE11" s="70"/>
      <c r="CF11" s="70"/>
      <c r="CG11" s="82"/>
      <c r="CH11" s="82"/>
      <c r="CI11" s="81"/>
      <c r="CJ11" s="70" t="e">
        <f t="shared" si="14"/>
        <v>#DIV/0!</v>
      </c>
      <c r="CK11" s="71">
        <f t="shared" si="15"/>
        <v>0</v>
      </c>
      <c r="CL11" s="70" t="e">
        <f t="shared" si="16"/>
        <v>#DIV/0!</v>
      </c>
      <c r="CM11" s="70" t="e">
        <f t="shared" si="17"/>
        <v>#DIV/0!</v>
      </c>
    </row>
    <row r="12" spans="1:91" s="31" customFormat="1" ht="23.25" customHeight="1">
      <c r="A12" s="726"/>
      <c r="B12" s="74" t="s">
        <v>94</v>
      </c>
      <c r="C12" s="75" t="s">
        <v>95</v>
      </c>
      <c r="D12" s="56">
        <v>4166666.88</v>
      </c>
      <c r="E12" s="57">
        <v>6690280.29</v>
      </c>
      <c r="F12" s="57">
        <f t="shared" si="12"/>
        <v>984867.46</v>
      </c>
      <c r="G12" s="58">
        <f t="shared" si="13"/>
        <v>0.14720869938320599</v>
      </c>
      <c r="H12" s="57">
        <v>492433.89</v>
      </c>
      <c r="I12" s="57">
        <v>492433.89</v>
      </c>
      <c r="J12" s="57">
        <f>威高广场1月实际!I11</f>
        <v>492433.89</v>
      </c>
      <c r="K12" s="58">
        <f t="shared" si="6"/>
        <v>2.3297869141905101E-2</v>
      </c>
      <c r="L12" s="57">
        <f t="shared" si="1"/>
        <v>0</v>
      </c>
      <c r="M12" s="59">
        <f t="shared" si="7"/>
        <v>1</v>
      </c>
      <c r="N12" s="59">
        <f t="shared" si="8"/>
        <v>1</v>
      </c>
      <c r="O12" s="57">
        <f>威高广场2月实际!F11</f>
        <v>492433.89</v>
      </c>
      <c r="P12" s="57">
        <f>威高广场2月实际!G11</f>
        <v>492433.89</v>
      </c>
      <c r="Q12" s="57">
        <f>威高广场2月实际!I11</f>
        <v>492433.57</v>
      </c>
      <c r="R12" s="76"/>
      <c r="S12" s="57">
        <f>威高广场2月实际!K11</f>
        <v>-0.32000000000698497</v>
      </c>
      <c r="T12" s="59">
        <f t="shared" si="9"/>
        <v>0.99999935016657804</v>
      </c>
      <c r="U12" s="59">
        <f t="shared" si="10"/>
        <v>0.99999935016657804</v>
      </c>
      <c r="V12" s="57">
        <f>威高广场3月实际!F11</f>
        <v>492433.89</v>
      </c>
      <c r="W12" s="57">
        <f>威高广场3月实际!G11</f>
        <v>492433.89</v>
      </c>
      <c r="X12" s="77"/>
      <c r="Y12" s="76"/>
      <c r="Z12" s="76"/>
      <c r="AA12" s="76"/>
      <c r="AB12" s="77"/>
      <c r="AC12" s="78"/>
      <c r="AD12" s="78"/>
      <c r="AE12" s="77"/>
      <c r="AF12" s="76"/>
      <c r="AG12" s="76"/>
      <c r="AH12" s="76"/>
      <c r="AI12" s="77"/>
      <c r="AJ12" s="78"/>
      <c r="AK12" s="78"/>
      <c r="AL12" s="77"/>
      <c r="AM12" s="76"/>
      <c r="AN12" s="76"/>
      <c r="AO12" s="76"/>
      <c r="AP12" s="77"/>
      <c r="AQ12" s="78"/>
      <c r="AR12" s="78"/>
      <c r="AS12" s="77"/>
      <c r="AT12" s="76"/>
      <c r="AU12" s="76"/>
      <c r="AV12" s="76"/>
      <c r="AW12" s="77"/>
      <c r="AX12" s="79"/>
      <c r="AY12" s="79"/>
      <c r="AZ12" s="80"/>
      <c r="BA12" s="64"/>
      <c r="BB12" s="65"/>
      <c r="BC12" s="64"/>
      <c r="BD12" s="64"/>
      <c r="BE12" s="79"/>
      <c r="BF12" s="79"/>
      <c r="BG12" s="80"/>
      <c r="BH12" s="59"/>
      <c r="BI12" s="65"/>
      <c r="BJ12" s="64"/>
      <c r="BK12" s="64"/>
      <c r="BL12" s="80"/>
      <c r="BM12" s="80"/>
      <c r="BN12" s="80"/>
      <c r="BO12" s="59"/>
      <c r="BP12" s="80"/>
      <c r="BQ12" s="64"/>
      <c r="BR12" s="64"/>
      <c r="BS12" s="102"/>
      <c r="BT12" s="102"/>
      <c r="BU12" s="69"/>
      <c r="BV12" s="70"/>
      <c r="BW12" s="71"/>
      <c r="BX12" s="70"/>
      <c r="BY12" s="70"/>
      <c r="BZ12" s="72"/>
      <c r="CA12" s="72"/>
      <c r="CB12" s="81"/>
      <c r="CC12" s="70"/>
      <c r="CD12" s="71"/>
      <c r="CE12" s="70"/>
      <c r="CF12" s="70"/>
      <c r="CG12" s="82"/>
      <c r="CH12" s="82"/>
      <c r="CI12" s="81"/>
      <c r="CJ12" s="70" t="e">
        <f t="shared" si="14"/>
        <v>#DIV/0!</v>
      </c>
      <c r="CK12" s="71">
        <f t="shared" si="15"/>
        <v>0</v>
      </c>
      <c r="CL12" s="70" t="e">
        <f t="shared" si="16"/>
        <v>#DIV/0!</v>
      </c>
      <c r="CM12" s="70" t="e">
        <f t="shared" si="17"/>
        <v>#DIV/0!</v>
      </c>
    </row>
    <row r="13" spans="1:91" s="31" customFormat="1" ht="23.25" customHeight="1">
      <c r="A13" s="726"/>
      <c r="B13" s="74" t="s">
        <v>96</v>
      </c>
      <c r="C13" s="75" t="s">
        <v>97</v>
      </c>
      <c r="D13" s="56">
        <v>5052350</v>
      </c>
      <c r="E13" s="57">
        <v>27100507</v>
      </c>
      <c r="F13" s="57">
        <f t="shared" si="12"/>
        <v>4680569</v>
      </c>
      <c r="G13" s="58">
        <f t="shared" si="13"/>
        <v>0.17271149207651401</v>
      </c>
      <c r="H13" s="57">
        <v>2067481</v>
      </c>
      <c r="I13" s="57">
        <v>2067481</v>
      </c>
      <c r="J13" s="57">
        <f>威高广场1月实际!I12</f>
        <v>2206885</v>
      </c>
      <c r="K13" s="58">
        <f t="shared" si="6"/>
        <v>0.104411412344575</v>
      </c>
      <c r="L13" s="57">
        <f t="shared" si="1"/>
        <v>139404</v>
      </c>
      <c r="M13" s="59">
        <f t="shared" si="7"/>
        <v>1.06742697998192</v>
      </c>
      <c r="N13" s="59">
        <f t="shared" si="8"/>
        <v>1.06742697998192</v>
      </c>
      <c r="O13" s="57">
        <f>威高广场2月实际!F12</f>
        <v>1916800</v>
      </c>
      <c r="P13" s="57">
        <f>威高广场2月实际!G12</f>
        <v>2219654</v>
      </c>
      <c r="Q13" s="57">
        <f>威高广场2月实际!I12</f>
        <v>2473684</v>
      </c>
      <c r="R13" s="76"/>
      <c r="S13" s="57">
        <f>威高广场2月实际!K12</f>
        <v>254030</v>
      </c>
      <c r="T13" s="59">
        <f t="shared" si="9"/>
        <v>1.1144457649705799</v>
      </c>
      <c r="U13" s="59">
        <f t="shared" si="10"/>
        <v>1.29052796327212</v>
      </c>
      <c r="V13" s="57">
        <f>威高广场3月实际!F12</f>
        <v>1986541</v>
      </c>
      <c r="W13" s="57">
        <f>威高广场3月实际!G12</f>
        <v>1965698</v>
      </c>
      <c r="X13" s="77"/>
      <c r="Y13" s="76"/>
      <c r="Z13" s="76"/>
      <c r="AA13" s="76"/>
      <c r="AB13" s="77"/>
      <c r="AC13" s="78"/>
      <c r="AD13" s="78"/>
      <c r="AE13" s="77"/>
      <c r="AF13" s="76"/>
      <c r="AG13" s="76"/>
      <c r="AH13" s="76"/>
      <c r="AI13" s="77"/>
      <c r="AJ13" s="78"/>
      <c r="AK13" s="78"/>
      <c r="AL13" s="77"/>
      <c r="AM13" s="76"/>
      <c r="AN13" s="76"/>
      <c r="AO13" s="76"/>
      <c r="AP13" s="77"/>
      <c r="AQ13" s="78"/>
      <c r="AR13" s="78"/>
      <c r="AS13" s="77"/>
      <c r="AT13" s="76"/>
      <c r="AU13" s="76"/>
      <c r="AV13" s="76"/>
      <c r="AW13" s="77"/>
      <c r="AX13" s="79"/>
      <c r="AY13" s="79"/>
      <c r="AZ13" s="80"/>
      <c r="BA13" s="64"/>
      <c r="BB13" s="65"/>
      <c r="BC13" s="64"/>
      <c r="BD13" s="64"/>
      <c r="BE13" s="79"/>
      <c r="BF13" s="79"/>
      <c r="BG13" s="67"/>
      <c r="BH13" s="59"/>
      <c r="BI13" s="65"/>
      <c r="BJ13" s="64"/>
      <c r="BK13" s="64"/>
      <c r="BL13" s="79"/>
      <c r="BM13" s="79"/>
      <c r="BN13" s="67"/>
      <c r="BO13" s="59"/>
      <c r="BP13" s="65"/>
      <c r="BQ13" s="64"/>
      <c r="BR13" s="64"/>
      <c r="BS13" s="68"/>
      <c r="BT13" s="68"/>
      <c r="BU13" s="69"/>
      <c r="BV13" s="70"/>
      <c r="BW13" s="71"/>
      <c r="BX13" s="70"/>
      <c r="BY13" s="70"/>
      <c r="BZ13" s="72"/>
      <c r="CA13" s="72"/>
      <c r="CB13" s="81"/>
      <c r="CC13" s="70"/>
      <c r="CD13" s="71"/>
      <c r="CE13" s="70"/>
      <c r="CF13" s="70"/>
      <c r="CG13" s="82"/>
      <c r="CH13" s="82"/>
      <c r="CI13" s="81"/>
      <c r="CJ13" s="70" t="e">
        <f t="shared" si="14"/>
        <v>#DIV/0!</v>
      </c>
      <c r="CK13" s="71">
        <f t="shared" si="15"/>
        <v>0</v>
      </c>
      <c r="CL13" s="70" t="e">
        <f t="shared" si="16"/>
        <v>#DIV/0!</v>
      </c>
      <c r="CM13" s="70" t="e">
        <f t="shared" si="17"/>
        <v>#DIV/0!</v>
      </c>
    </row>
    <row r="14" spans="1:91" s="31" customFormat="1" ht="23.25" customHeight="1">
      <c r="A14" s="726"/>
      <c r="B14" s="74" t="s">
        <v>98</v>
      </c>
      <c r="C14" s="55" t="s">
        <v>99</v>
      </c>
      <c r="D14" s="56">
        <v>2736729.14</v>
      </c>
      <c r="E14" s="57">
        <v>2520000</v>
      </c>
      <c r="F14" s="57">
        <f t="shared" si="12"/>
        <v>441300</v>
      </c>
      <c r="G14" s="58">
        <f t="shared" si="13"/>
        <v>0.17511904761904801</v>
      </c>
      <c r="H14" s="57">
        <v>183700</v>
      </c>
      <c r="I14" s="57">
        <v>190600</v>
      </c>
      <c r="J14" s="57">
        <f>威高广场1月实际!I13</f>
        <v>219600</v>
      </c>
      <c r="K14" s="58">
        <f t="shared" si="6"/>
        <v>1.0389642482897201E-2</v>
      </c>
      <c r="L14" s="57">
        <f t="shared" si="1"/>
        <v>29000</v>
      </c>
      <c r="M14" s="59">
        <f t="shared" si="7"/>
        <v>1.1521511017838399</v>
      </c>
      <c r="N14" s="59">
        <f t="shared" si="8"/>
        <v>1.19542732716385</v>
      </c>
      <c r="O14" s="57">
        <f>威高广场2月实际!F13</f>
        <v>176300</v>
      </c>
      <c r="P14" s="57">
        <f>威高广场2月实际!G13</f>
        <v>176300</v>
      </c>
      <c r="Q14" s="57">
        <f>威高广场2月实际!I13</f>
        <v>221700</v>
      </c>
      <c r="R14" s="76"/>
      <c r="S14" s="57">
        <f>威高广场2月实际!K13</f>
        <v>45400</v>
      </c>
      <c r="T14" s="59">
        <f t="shared" si="9"/>
        <v>1.2575155984118001</v>
      </c>
      <c r="U14" s="59">
        <f t="shared" si="10"/>
        <v>1.2575155984118001</v>
      </c>
      <c r="V14" s="57">
        <f>威高广场3月实际!F13</f>
        <v>163300</v>
      </c>
      <c r="W14" s="57">
        <f>威高广场3月实际!G13</f>
        <v>163300</v>
      </c>
      <c r="X14" s="77"/>
      <c r="Y14" s="76"/>
      <c r="Z14" s="76"/>
      <c r="AA14" s="76"/>
      <c r="AB14" s="77"/>
      <c r="AC14" s="78"/>
      <c r="AD14" s="78"/>
      <c r="AE14" s="77"/>
      <c r="AF14" s="76"/>
      <c r="AG14" s="76"/>
      <c r="AH14" s="76"/>
      <c r="AI14" s="77"/>
      <c r="AJ14" s="78"/>
      <c r="AK14" s="78"/>
      <c r="AL14" s="77"/>
      <c r="AM14" s="76"/>
      <c r="AN14" s="76"/>
      <c r="AO14" s="76"/>
      <c r="AP14" s="77"/>
      <c r="AQ14" s="78"/>
      <c r="AR14" s="78"/>
      <c r="AS14" s="77"/>
      <c r="AT14" s="76"/>
      <c r="AU14" s="76"/>
      <c r="AV14" s="76"/>
      <c r="AW14" s="77"/>
      <c r="AX14" s="79"/>
      <c r="AY14" s="79"/>
      <c r="AZ14" s="80"/>
      <c r="BA14" s="64"/>
      <c r="BB14" s="65"/>
      <c r="BC14" s="64"/>
      <c r="BD14" s="64"/>
      <c r="BE14" s="79"/>
      <c r="BF14" s="79"/>
      <c r="BG14" s="79"/>
      <c r="BH14" s="59"/>
      <c r="BI14" s="65"/>
      <c r="BJ14" s="64"/>
      <c r="BK14" s="64"/>
      <c r="BL14" s="79"/>
      <c r="BM14" s="79"/>
      <c r="BN14" s="67"/>
      <c r="BO14" s="59"/>
      <c r="BP14" s="65"/>
      <c r="BQ14" s="64"/>
      <c r="BR14" s="64"/>
      <c r="BS14" s="103"/>
      <c r="BT14" s="103"/>
      <c r="BU14" s="69"/>
      <c r="BV14" s="70"/>
      <c r="BW14" s="71"/>
      <c r="BX14" s="70"/>
      <c r="BY14" s="70"/>
      <c r="BZ14" s="72"/>
      <c r="CA14" s="72"/>
      <c r="CB14" s="81"/>
      <c r="CC14" s="70"/>
      <c r="CD14" s="71"/>
      <c r="CE14" s="70"/>
      <c r="CF14" s="70"/>
      <c r="CG14" s="82"/>
      <c r="CH14" s="82"/>
      <c r="CI14" s="81"/>
      <c r="CJ14" s="70" t="e">
        <f t="shared" si="14"/>
        <v>#DIV/0!</v>
      </c>
      <c r="CK14" s="71">
        <f t="shared" si="15"/>
        <v>0</v>
      </c>
      <c r="CL14" s="70" t="e">
        <f t="shared" si="16"/>
        <v>#DIV/0!</v>
      </c>
      <c r="CM14" s="70" t="e">
        <f t="shared" si="17"/>
        <v>#DIV/0!</v>
      </c>
    </row>
    <row r="15" spans="1:91" s="31" customFormat="1" ht="23.25" customHeight="1">
      <c r="A15" s="736"/>
      <c r="B15" s="74" t="s">
        <v>100</v>
      </c>
      <c r="C15" s="75" t="s">
        <v>101</v>
      </c>
      <c r="D15" s="104">
        <v>3000742.3670000001</v>
      </c>
      <c r="E15" s="57">
        <v>2250000</v>
      </c>
      <c r="F15" s="57">
        <f t="shared" si="12"/>
        <v>854614.09</v>
      </c>
      <c r="G15" s="58">
        <f t="shared" si="13"/>
        <v>0.379828484444445</v>
      </c>
      <c r="H15" s="57">
        <v>105614.669805825</v>
      </c>
      <c r="I15" s="57">
        <v>105614.669805825</v>
      </c>
      <c r="J15" s="57">
        <f>威高广场1月实际!I14</f>
        <v>76299.27</v>
      </c>
      <c r="K15" s="58">
        <f t="shared" si="6"/>
        <v>3.6098457969309999E-3</v>
      </c>
      <c r="L15" s="57">
        <f t="shared" si="1"/>
        <v>-29315.399805825</v>
      </c>
      <c r="M15" s="59">
        <f t="shared" si="7"/>
        <v>0.72243060684920002</v>
      </c>
      <c r="N15" s="59">
        <f t="shared" si="8"/>
        <v>0.72243060684920002</v>
      </c>
      <c r="O15" s="57">
        <f>威高广场2月实际!F14</f>
        <v>696354.12664173997</v>
      </c>
      <c r="P15" s="57">
        <f>威高广场2月实际!G14</f>
        <v>696354.12664173997</v>
      </c>
      <c r="Q15" s="57">
        <f>威高广场2月实际!I14</f>
        <v>778314.82</v>
      </c>
      <c r="R15" s="76"/>
      <c r="S15" s="57">
        <f>威高广场2月实际!K14</f>
        <v>81960.693358260702</v>
      </c>
      <c r="T15" s="59">
        <f t="shared" si="9"/>
        <v>1.11769973095949</v>
      </c>
      <c r="U15" s="59">
        <f t="shared" si="10"/>
        <v>1.11769973095949</v>
      </c>
      <c r="V15" s="57">
        <f>威高广场3月实际!F14</f>
        <v>81436.437829564602</v>
      </c>
      <c r="W15" s="57">
        <f>威高广场3月实际!G14</f>
        <v>81436.437829564602</v>
      </c>
      <c r="X15" s="77"/>
      <c r="Y15" s="76"/>
      <c r="Z15" s="76"/>
      <c r="AA15" s="76"/>
      <c r="AB15" s="77"/>
      <c r="AC15" s="78"/>
      <c r="AD15" s="78"/>
      <c r="AE15" s="77"/>
      <c r="AF15" s="76"/>
      <c r="AG15" s="76"/>
      <c r="AH15" s="76"/>
      <c r="AI15" s="77"/>
      <c r="AJ15" s="78"/>
      <c r="AK15" s="78"/>
      <c r="AL15" s="77"/>
      <c r="AM15" s="76"/>
      <c r="AN15" s="76"/>
      <c r="AO15" s="76"/>
      <c r="AP15" s="77"/>
      <c r="AQ15" s="78"/>
      <c r="AR15" s="78"/>
      <c r="AS15" s="77"/>
      <c r="AT15" s="76"/>
      <c r="AU15" s="76"/>
      <c r="AV15" s="76"/>
      <c r="AW15" s="77"/>
      <c r="AX15" s="105"/>
      <c r="AY15" s="105"/>
      <c r="AZ15" s="105"/>
      <c r="BA15" s="64"/>
      <c r="BB15" s="65"/>
      <c r="BC15" s="64"/>
      <c r="BD15" s="64"/>
      <c r="BE15" s="105"/>
      <c r="BF15" s="105"/>
      <c r="BG15" s="67"/>
      <c r="BH15" s="59"/>
      <c r="BI15" s="65"/>
      <c r="BJ15" s="64"/>
      <c r="BK15" s="64"/>
      <c r="BL15" s="105"/>
      <c r="BM15" s="106"/>
      <c r="BN15" s="105"/>
      <c r="BO15" s="59"/>
      <c r="BP15" s="65"/>
      <c r="BQ15" s="64"/>
      <c r="BR15" s="64"/>
      <c r="BS15" s="105"/>
      <c r="BT15" s="105"/>
      <c r="BU15" s="69"/>
      <c r="BV15" s="70"/>
      <c r="BW15" s="71"/>
      <c r="BX15" s="70"/>
      <c r="BY15" s="70"/>
      <c r="BZ15" s="107"/>
      <c r="CA15" s="108"/>
      <c r="CB15" s="81"/>
      <c r="CC15" s="70"/>
      <c r="CD15" s="71"/>
      <c r="CE15" s="70"/>
      <c r="CF15" s="70"/>
      <c r="CG15" s="109"/>
      <c r="CH15" s="110"/>
      <c r="CI15" s="81"/>
      <c r="CJ15" s="70" t="e">
        <f t="shared" si="14"/>
        <v>#DIV/0!</v>
      </c>
      <c r="CK15" s="71">
        <f t="shared" si="15"/>
        <v>0</v>
      </c>
      <c r="CL15" s="70" t="e">
        <f t="shared" si="16"/>
        <v>#DIV/0!</v>
      </c>
      <c r="CM15" s="70" t="e">
        <f t="shared" si="17"/>
        <v>#DIV/0!</v>
      </c>
    </row>
    <row r="16" spans="1:91" s="32" customFormat="1" ht="23.25" customHeight="1">
      <c r="A16" s="744" t="s">
        <v>240</v>
      </c>
      <c r="B16" s="745"/>
      <c r="C16" s="111" t="s">
        <v>241</v>
      </c>
      <c r="D16" s="112">
        <f>SUM(D7:D15)</f>
        <v>233944860.79699999</v>
      </c>
      <c r="E16" s="86">
        <f>SUM(E4:E9)</f>
        <v>399080307.19999999</v>
      </c>
      <c r="F16" s="87">
        <f>SUM(F7:F15)</f>
        <v>42078405.189999998</v>
      </c>
      <c r="G16" s="88">
        <f t="shared" si="13"/>
        <v>0.10543844041122399</v>
      </c>
      <c r="H16" s="86">
        <f>SUM(H7:H15)</f>
        <v>20132917.169805825</v>
      </c>
      <c r="I16" s="86">
        <f>SUM(I7:I15)</f>
        <v>20147517.169805825</v>
      </c>
      <c r="J16" s="87">
        <f>SUM(J7:J15)</f>
        <v>21136434.710000001</v>
      </c>
      <c r="K16" s="113"/>
      <c r="L16" s="87">
        <f t="shared" si="1"/>
        <v>988917.54019417614</v>
      </c>
      <c r="M16" s="89">
        <f t="shared" ref="M16:M29" si="18">J16/I16</f>
        <v>1.0490838415403474</v>
      </c>
      <c r="N16" s="59">
        <f t="shared" ref="N16:N36" si="19">J16/H16</f>
        <v>1.0498446167403497</v>
      </c>
      <c r="O16" s="87">
        <f>SUM(O7:O15)</f>
        <v>20479206.996641699</v>
      </c>
      <c r="P16" s="87">
        <f>SUM(P7:P15)</f>
        <v>20782060.996641699</v>
      </c>
      <c r="Q16" s="87">
        <f>SUM(Q7:Q15)</f>
        <v>20941970.48</v>
      </c>
      <c r="R16" s="87">
        <f>Q16/$J$16</f>
        <v>0.99079957274402597</v>
      </c>
      <c r="S16" s="87">
        <f t="shared" ref="S16:S22" si="20">Q16-P16</f>
        <v>159909.48335826001</v>
      </c>
      <c r="T16" s="89">
        <f t="shared" si="9"/>
        <v>1.0076945921477201</v>
      </c>
      <c r="U16" s="89">
        <f t="shared" si="10"/>
        <v>1.0225967481765399</v>
      </c>
      <c r="V16" s="87">
        <f>SUM(V7:V15)</f>
        <v>21396500.387829602</v>
      </c>
      <c r="W16" s="87">
        <f>SUM(W7:W15)</f>
        <v>21375657.387829602</v>
      </c>
      <c r="X16" s="114" t="e">
        <f>SUM(#REF!)</f>
        <v>#REF!</v>
      </c>
      <c r="Y16" s="115" t="e">
        <f>X16/$J$16</f>
        <v>#REF!</v>
      </c>
      <c r="Z16" s="114" t="e">
        <f>X16-W16</f>
        <v>#REF!</v>
      </c>
      <c r="AA16" s="115" t="e">
        <f>X16/W16</f>
        <v>#REF!</v>
      </c>
      <c r="AB16" s="115" t="e">
        <f>X16/V16</f>
        <v>#REF!</v>
      </c>
      <c r="AC16" s="114" t="e">
        <f>SUM(#REF!)</f>
        <v>#REF!</v>
      </c>
      <c r="AD16" s="114" t="e">
        <f>SUM(#REF!)</f>
        <v>#REF!</v>
      </c>
      <c r="AE16" s="114" t="e">
        <f>SUM(#REF!)</f>
        <v>#REF!</v>
      </c>
      <c r="AF16" s="115" t="e">
        <f>AE16/$J$16</f>
        <v>#REF!</v>
      </c>
      <c r="AG16" s="114" t="e">
        <f>AE16-AD16</f>
        <v>#REF!</v>
      </c>
      <c r="AH16" s="115" t="e">
        <f>AE16/AD16</f>
        <v>#REF!</v>
      </c>
      <c r="AI16" s="115" t="e">
        <f>AE16/AC16</f>
        <v>#REF!</v>
      </c>
      <c r="AJ16" s="114" t="e">
        <f>SUM(#REF!)</f>
        <v>#REF!</v>
      </c>
      <c r="AK16" s="114" t="e">
        <f>SUM(#REF!)</f>
        <v>#REF!</v>
      </c>
      <c r="AL16" s="114" t="e">
        <f>SUM(#REF!)</f>
        <v>#REF!</v>
      </c>
      <c r="AM16" s="115" t="e">
        <f>AL16/$J$16</f>
        <v>#REF!</v>
      </c>
      <c r="AN16" s="114" t="e">
        <f>AL16-AK16</f>
        <v>#REF!</v>
      </c>
      <c r="AO16" s="115" t="e">
        <f>AL16/AK16</f>
        <v>#REF!</v>
      </c>
      <c r="AP16" s="115" t="e">
        <f>AL16/AJ16</f>
        <v>#REF!</v>
      </c>
      <c r="AQ16" s="114" t="e">
        <f>SUM(#REF!)</f>
        <v>#REF!</v>
      </c>
      <c r="AR16" s="114" t="e">
        <f>SUM(#REF!)</f>
        <v>#REF!</v>
      </c>
      <c r="AS16" s="114" t="e">
        <f>SUM(#REF!)</f>
        <v>#REF!</v>
      </c>
      <c r="AT16" s="115" t="e">
        <f>AS16/$J$16</f>
        <v>#REF!</v>
      </c>
      <c r="AU16" s="114" t="e">
        <f>AS16-AR16</f>
        <v>#REF!</v>
      </c>
      <c r="AV16" s="115" t="e">
        <f>AS16/AR16</f>
        <v>#REF!</v>
      </c>
      <c r="AW16" s="115" t="e">
        <f>AS16/AQ16</f>
        <v>#REF!</v>
      </c>
      <c r="AX16" s="116"/>
      <c r="AY16" s="116"/>
      <c r="AZ16" s="116"/>
      <c r="BA16" s="96"/>
      <c r="BB16" s="97"/>
      <c r="BC16" s="115"/>
      <c r="BD16" s="96"/>
      <c r="BE16" s="116"/>
      <c r="BF16" s="116"/>
      <c r="BG16" s="116"/>
      <c r="BH16" s="117"/>
      <c r="BI16" s="97"/>
      <c r="BJ16" s="115"/>
      <c r="BK16" s="96"/>
      <c r="BL16" s="116"/>
      <c r="BM16" s="116"/>
      <c r="BN16" s="116"/>
      <c r="BO16" s="117"/>
      <c r="BP16" s="97"/>
      <c r="BQ16" s="115"/>
      <c r="BR16" s="96"/>
      <c r="BS16" s="118"/>
      <c r="BT16" s="118"/>
      <c r="BU16" s="119"/>
      <c r="BV16" s="96"/>
      <c r="BW16" s="97"/>
      <c r="BX16" s="115"/>
      <c r="BY16" s="96"/>
      <c r="BZ16" s="120"/>
      <c r="CA16" s="120"/>
      <c r="CB16" s="120"/>
      <c r="CC16" s="121"/>
      <c r="CD16" s="122"/>
      <c r="CE16" s="123"/>
      <c r="CF16" s="121"/>
      <c r="CG16" s="120"/>
      <c r="CH16" s="120"/>
      <c r="CI16" s="120">
        <f>SUM(CI4:CI9)</f>
        <v>0</v>
      </c>
      <c r="CJ16" s="96" t="e">
        <f t="shared" si="14"/>
        <v>#DIV/0!</v>
      </c>
      <c r="CK16" s="97">
        <f t="shared" si="15"/>
        <v>0</v>
      </c>
      <c r="CL16" s="115" t="e">
        <f t="shared" si="16"/>
        <v>#DIV/0!</v>
      </c>
      <c r="CM16" s="96" t="e">
        <f t="shared" si="17"/>
        <v>#DIV/0!</v>
      </c>
    </row>
    <row r="17" spans="1:91" s="30" customFormat="1" ht="23.25" customHeight="1">
      <c r="A17" s="725" t="s">
        <v>242</v>
      </c>
      <c r="B17" s="54" t="s">
        <v>106</v>
      </c>
      <c r="C17" s="124" t="s">
        <v>37</v>
      </c>
      <c r="D17" s="125">
        <v>93926786.530000001</v>
      </c>
      <c r="E17" s="57">
        <v>119109578</v>
      </c>
      <c r="F17" s="57">
        <f t="shared" ref="F17:F34" si="21">J17+Q17+X17+AE17+AL17+AS17+AZ17+BG17+BN17+BU17+CB17+CI17</f>
        <v>18438728.489999998</v>
      </c>
      <c r="G17" s="58">
        <f t="shared" si="13"/>
        <v>0.15480475037868099</v>
      </c>
      <c r="H17" s="57">
        <v>9456669</v>
      </c>
      <c r="I17" s="57">
        <v>9456669</v>
      </c>
      <c r="J17" s="57">
        <f>威高广场1月实际!I17</f>
        <v>8982059.4900000002</v>
      </c>
      <c r="K17" s="58">
        <f t="shared" ref="K17:K34" si="22">J17/$J$16</f>
        <v>0.42495622432246999</v>
      </c>
      <c r="L17" s="57">
        <f t="shared" si="1"/>
        <v>-474609.50999999978</v>
      </c>
      <c r="M17" s="59">
        <f t="shared" si="18"/>
        <v>0.94981218968328063</v>
      </c>
      <c r="N17" s="59">
        <f t="shared" si="19"/>
        <v>0.94981218968328063</v>
      </c>
      <c r="O17" s="57">
        <f>威高广场2月实际!F17</f>
        <v>9456669</v>
      </c>
      <c r="P17" s="57">
        <f>威高广场2月实际!G17</f>
        <v>9456669</v>
      </c>
      <c r="Q17" s="57">
        <f>威高广场2月实际!I17</f>
        <v>9456669</v>
      </c>
      <c r="R17" s="126"/>
      <c r="S17" s="57">
        <f t="shared" si="20"/>
        <v>0</v>
      </c>
      <c r="T17" s="58">
        <f t="shared" si="9"/>
        <v>1</v>
      </c>
      <c r="U17" s="58">
        <f t="shared" si="10"/>
        <v>1</v>
      </c>
      <c r="V17" s="57">
        <f>威高广场3月实际!F17</f>
        <v>9707200</v>
      </c>
      <c r="W17" s="57">
        <f>威高广场3月实际!G17</f>
        <v>9707200</v>
      </c>
      <c r="X17" s="127"/>
      <c r="Y17" s="128"/>
      <c r="Z17" s="127"/>
      <c r="AA17" s="128"/>
      <c r="AB17" s="128"/>
      <c r="AC17" s="127"/>
      <c r="AD17" s="127"/>
      <c r="AE17" s="127"/>
      <c r="AF17" s="128"/>
      <c r="AG17" s="127"/>
      <c r="AH17" s="128"/>
      <c r="AI17" s="128"/>
      <c r="AJ17" s="127"/>
      <c r="AK17" s="127"/>
      <c r="AL17" s="127"/>
      <c r="AM17" s="128"/>
      <c r="AN17" s="127"/>
      <c r="AO17" s="128"/>
      <c r="AP17" s="128"/>
      <c r="AQ17" s="127"/>
      <c r="AR17" s="127"/>
      <c r="AS17" s="127"/>
      <c r="AT17" s="128"/>
      <c r="AU17" s="127"/>
      <c r="AV17" s="128"/>
      <c r="AW17" s="128"/>
      <c r="AX17" s="127"/>
      <c r="AY17" s="127"/>
      <c r="AZ17" s="127"/>
      <c r="BA17" s="70"/>
      <c r="BB17" s="71"/>
      <c r="BC17" s="129"/>
      <c r="BD17" s="70"/>
      <c r="BE17" s="127"/>
      <c r="BF17" s="127"/>
      <c r="BG17" s="127"/>
      <c r="BH17" s="130"/>
      <c r="BI17" s="71"/>
      <c r="BJ17" s="129"/>
      <c r="BK17" s="70"/>
      <c r="BL17" s="127"/>
      <c r="BM17" s="127"/>
      <c r="BN17" s="127"/>
      <c r="BO17" s="130"/>
      <c r="BP17" s="71"/>
      <c r="BQ17" s="129"/>
      <c r="BR17" s="70"/>
      <c r="BS17" s="131"/>
      <c r="BT17" s="131"/>
      <c r="BU17" s="132"/>
      <c r="BV17" s="70"/>
      <c r="BW17" s="71"/>
      <c r="BX17" s="129"/>
      <c r="BY17" s="70"/>
      <c r="BZ17" s="127"/>
      <c r="CA17" s="127"/>
      <c r="CB17" s="127"/>
      <c r="CC17" s="70"/>
      <c r="CD17" s="71"/>
      <c r="CE17" s="129"/>
      <c r="CF17" s="70"/>
      <c r="CG17" s="127"/>
      <c r="CH17" s="127"/>
      <c r="CI17" s="127"/>
      <c r="CJ17" s="70" t="e">
        <f t="shared" si="14"/>
        <v>#DIV/0!</v>
      </c>
      <c r="CK17" s="71">
        <f t="shared" si="15"/>
        <v>0</v>
      </c>
      <c r="CL17" s="129" t="e">
        <f t="shared" si="16"/>
        <v>#DIV/0!</v>
      </c>
      <c r="CM17" s="70" t="e">
        <f t="shared" si="17"/>
        <v>#DIV/0!</v>
      </c>
    </row>
    <row r="18" spans="1:91" s="31" customFormat="1" ht="23.25" customHeight="1">
      <c r="A18" s="726"/>
      <c r="B18" s="74" t="s">
        <v>107</v>
      </c>
      <c r="C18" s="56" t="s">
        <v>39</v>
      </c>
      <c r="D18" s="133">
        <v>25404840</v>
      </c>
      <c r="E18" s="57">
        <v>24636825</v>
      </c>
      <c r="F18" s="57">
        <f t="shared" si="21"/>
        <v>3921599</v>
      </c>
      <c r="G18" s="58">
        <f t="shared" si="13"/>
        <v>0.159176314318099</v>
      </c>
      <c r="H18" s="57">
        <v>1879529</v>
      </c>
      <c r="I18" s="57">
        <v>1879529</v>
      </c>
      <c r="J18" s="57">
        <f>威高广场1月实际!I18</f>
        <v>1931025</v>
      </c>
      <c r="K18" s="58">
        <f t="shared" si="22"/>
        <v>9.1360015371296302E-2</v>
      </c>
      <c r="L18" s="57">
        <f t="shared" ref="L18:L23" si="23">J18-I18</f>
        <v>51496</v>
      </c>
      <c r="M18" s="59">
        <f t="shared" si="18"/>
        <v>1.0273983535236799</v>
      </c>
      <c r="N18" s="59">
        <f t="shared" si="19"/>
        <v>1.0273983535236799</v>
      </c>
      <c r="O18" s="57">
        <f>威高广场2月实际!F18</f>
        <v>1916800</v>
      </c>
      <c r="P18" s="57">
        <f>威高广场2月实际!G18</f>
        <v>2014569</v>
      </c>
      <c r="Q18" s="57">
        <f>威高广场2月实际!I18</f>
        <v>1990574</v>
      </c>
      <c r="R18" s="134"/>
      <c r="S18" s="57">
        <f t="shared" si="20"/>
        <v>-23995</v>
      </c>
      <c r="T18" s="58">
        <f t="shared" ref="T18:T34" si="24">Q18/P18</f>
        <v>0.98808926375815398</v>
      </c>
      <c r="U18" s="58">
        <f t="shared" ref="U18:U34" si="25">Q18/O18</f>
        <v>1.0384881051752901</v>
      </c>
      <c r="V18" s="57">
        <f>威高广场3月实际!F18</f>
        <v>1695700</v>
      </c>
      <c r="W18" s="57">
        <f>威高广场3月实际!G18</f>
        <v>1695700</v>
      </c>
      <c r="X18" s="135"/>
      <c r="Y18" s="136"/>
      <c r="Z18" s="135"/>
      <c r="AA18" s="136"/>
      <c r="AB18" s="136"/>
      <c r="AC18" s="135"/>
      <c r="AD18" s="135"/>
      <c r="AE18" s="135"/>
      <c r="AF18" s="136"/>
      <c r="AG18" s="135"/>
      <c r="AH18" s="136"/>
      <c r="AI18" s="136"/>
      <c r="AJ18" s="135"/>
      <c r="AK18" s="135"/>
      <c r="AL18" s="135"/>
      <c r="AM18" s="136"/>
      <c r="AN18" s="135"/>
      <c r="AO18" s="136"/>
      <c r="AP18" s="136"/>
      <c r="AQ18" s="135"/>
      <c r="AR18" s="135"/>
      <c r="AS18" s="135"/>
      <c r="AT18" s="136"/>
      <c r="AU18" s="135"/>
      <c r="AV18" s="136"/>
      <c r="AW18" s="136"/>
      <c r="AX18" s="135"/>
      <c r="AY18" s="135"/>
      <c r="AZ18" s="135"/>
      <c r="BA18" s="70"/>
      <c r="BB18" s="71"/>
      <c r="BC18" s="129"/>
      <c r="BD18" s="70"/>
      <c r="BE18" s="127"/>
      <c r="BF18" s="135"/>
      <c r="BG18" s="127"/>
      <c r="BH18" s="130"/>
      <c r="BI18" s="71"/>
      <c r="BJ18" s="129"/>
      <c r="BK18" s="70"/>
      <c r="BL18" s="137"/>
      <c r="BM18" s="137"/>
      <c r="BN18" s="138"/>
      <c r="BO18" s="130"/>
      <c r="BP18" s="71"/>
      <c r="BQ18" s="129"/>
      <c r="BR18" s="70"/>
      <c r="BS18" s="139"/>
      <c r="BT18" s="139"/>
      <c r="BU18" s="132"/>
      <c r="BV18" s="70"/>
      <c r="BW18" s="71"/>
      <c r="BX18" s="129"/>
      <c r="BY18" s="70"/>
      <c r="BZ18" s="127"/>
      <c r="CA18" s="140"/>
      <c r="CB18" s="135"/>
      <c r="CC18" s="70"/>
      <c r="CD18" s="71"/>
      <c r="CE18" s="129"/>
      <c r="CF18" s="70"/>
      <c r="CG18" s="135"/>
      <c r="CH18" s="135"/>
      <c r="CI18" s="135"/>
      <c r="CJ18" s="70" t="e">
        <f t="shared" si="14"/>
        <v>#DIV/0!</v>
      </c>
      <c r="CK18" s="71">
        <f t="shared" si="15"/>
        <v>0</v>
      </c>
      <c r="CL18" s="129" t="e">
        <f t="shared" si="16"/>
        <v>#DIV/0!</v>
      </c>
      <c r="CM18" s="70" t="e">
        <f t="shared" si="17"/>
        <v>#DIV/0!</v>
      </c>
    </row>
    <row r="19" spans="1:91" s="31" customFormat="1" ht="23.25" customHeight="1">
      <c r="A19" s="726"/>
      <c r="B19" s="74" t="s">
        <v>108</v>
      </c>
      <c r="C19" s="56" t="s">
        <v>109</v>
      </c>
      <c r="D19" s="133">
        <v>15920720</v>
      </c>
      <c r="E19" s="57">
        <v>16106800</v>
      </c>
      <c r="F19" s="57">
        <f t="shared" si="21"/>
        <v>2771205</v>
      </c>
      <c r="G19" s="58">
        <f t="shared" si="13"/>
        <v>0.172051866292498</v>
      </c>
      <c r="H19" s="57">
        <v>1889700</v>
      </c>
      <c r="I19" s="57">
        <v>1889700</v>
      </c>
      <c r="J19" s="57">
        <f>威高广场1月实际!I19</f>
        <v>1633812</v>
      </c>
      <c r="K19" s="58">
        <f t="shared" si="22"/>
        <v>7.7298372332729098E-2</v>
      </c>
      <c r="L19" s="57">
        <f t="shared" si="23"/>
        <v>-255888</v>
      </c>
      <c r="M19" s="59">
        <f t="shared" si="18"/>
        <v>0.86458802984600702</v>
      </c>
      <c r="N19" s="59">
        <f t="shared" si="19"/>
        <v>0.86458802984600702</v>
      </c>
      <c r="O19" s="57">
        <f>威高广场2月实际!F19</f>
        <v>1847200</v>
      </c>
      <c r="P19" s="57">
        <f>威高广场2月实际!G19</f>
        <v>1605300</v>
      </c>
      <c r="Q19" s="57">
        <f>威高广场2月实际!I19</f>
        <v>1137393</v>
      </c>
      <c r="R19" s="134"/>
      <c r="S19" s="57">
        <f t="shared" si="20"/>
        <v>-467907</v>
      </c>
      <c r="T19" s="58">
        <f t="shared" si="24"/>
        <v>0.70852364044103899</v>
      </c>
      <c r="U19" s="58">
        <f t="shared" si="25"/>
        <v>0.61573895625812003</v>
      </c>
      <c r="V19" s="57">
        <f>威高广场3月实际!F19</f>
        <v>1343400</v>
      </c>
      <c r="W19" s="57">
        <f>威高广场3月实际!G19</f>
        <v>1343400</v>
      </c>
      <c r="X19" s="135"/>
      <c r="Y19" s="136"/>
      <c r="Z19" s="135"/>
      <c r="AA19" s="136"/>
      <c r="AB19" s="136"/>
      <c r="AC19" s="135"/>
      <c r="AD19" s="135"/>
      <c r="AE19" s="135"/>
      <c r="AF19" s="136"/>
      <c r="AG19" s="135"/>
      <c r="AH19" s="136"/>
      <c r="AI19" s="136"/>
      <c r="AJ19" s="135"/>
      <c r="AK19" s="135"/>
      <c r="AL19" s="135"/>
      <c r="AM19" s="136"/>
      <c r="AN19" s="135"/>
      <c r="AO19" s="136"/>
      <c r="AP19" s="136"/>
      <c r="AQ19" s="135"/>
      <c r="AR19" s="135"/>
      <c r="AS19" s="135"/>
      <c r="AT19" s="136"/>
      <c r="AU19" s="135"/>
      <c r="AV19" s="136"/>
      <c r="AW19" s="136"/>
      <c r="AX19" s="135"/>
      <c r="AY19" s="135"/>
      <c r="AZ19" s="135"/>
      <c r="BA19" s="70"/>
      <c r="BB19" s="71"/>
      <c r="BC19" s="129"/>
      <c r="BD19" s="70"/>
      <c r="BE19" s="127"/>
      <c r="BF19" s="135"/>
      <c r="BG19" s="127"/>
      <c r="BH19" s="130"/>
      <c r="BI19" s="71"/>
      <c r="BJ19" s="129"/>
      <c r="BK19" s="70"/>
      <c r="BL19" s="137"/>
      <c r="BM19" s="137"/>
      <c r="BN19" s="138"/>
      <c r="BO19" s="130"/>
      <c r="BP19" s="71"/>
      <c r="BQ19" s="129"/>
      <c r="BR19" s="70"/>
      <c r="BS19" s="139"/>
      <c r="BT19" s="139"/>
      <c r="BU19" s="132"/>
      <c r="BV19" s="70"/>
      <c r="BW19" s="71"/>
      <c r="BX19" s="129"/>
      <c r="BY19" s="70"/>
      <c r="BZ19" s="127"/>
      <c r="CA19" s="140"/>
      <c r="CB19" s="135"/>
      <c r="CC19" s="70"/>
      <c r="CD19" s="71"/>
      <c r="CE19" s="129"/>
      <c r="CF19" s="70"/>
      <c r="CG19" s="135"/>
      <c r="CH19" s="135"/>
      <c r="CI19" s="135"/>
      <c r="CJ19" s="70" t="e">
        <f t="shared" si="14"/>
        <v>#DIV/0!</v>
      </c>
      <c r="CK19" s="71">
        <f t="shared" si="15"/>
        <v>0</v>
      </c>
      <c r="CL19" s="129" t="e">
        <f t="shared" si="16"/>
        <v>#DIV/0!</v>
      </c>
      <c r="CM19" s="70" t="e">
        <f t="shared" si="17"/>
        <v>#DIV/0!</v>
      </c>
    </row>
    <row r="20" spans="1:91" s="31" customFormat="1" ht="23.25" customHeight="1">
      <c r="A20" s="726"/>
      <c r="B20" s="74" t="s">
        <v>110</v>
      </c>
      <c r="C20" s="56" t="s">
        <v>111</v>
      </c>
      <c r="D20" s="133">
        <v>6935000</v>
      </c>
      <c r="E20" s="57">
        <v>7119800</v>
      </c>
      <c r="F20" s="57">
        <f t="shared" si="21"/>
        <v>1063496.24</v>
      </c>
      <c r="G20" s="58">
        <f t="shared" si="13"/>
        <v>0.14937164527093499</v>
      </c>
      <c r="H20" s="141">
        <v>457182.5</v>
      </c>
      <c r="I20" s="57">
        <v>452182.5</v>
      </c>
      <c r="J20" s="57">
        <f>威高广场1月实际!I20</f>
        <v>566899.39</v>
      </c>
      <c r="K20" s="58">
        <f t="shared" si="22"/>
        <v>2.6820956219820301E-2</v>
      </c>
      <c r="L20" s="57">
        <f t="shared" si="23"/>
        <v>114716.89</v>
      </c>
      <c r="M20" s="59">
        <f t="shared" si="18"/>
        <v>1.2536959966385299</v>
      </c>
      <c r="N20" s="59">
        <f t="shared" si="19"/>
        <v>1.2399848856856901</v>
      </c>
      <c r="O20" s="57">
        <f>威高广场2月实际!F20</f>
        <v>265182.5</v>
      </c>
      <c r="P20" s="57">
        <f>威高广场2月实际!G20</f>
        <v>335182.5</v>
      </c>
      <c r="Q20" s="57">
        <f>威高广场2月实际!I20</f>
        <v>496596.85</v>
      </c>
      <c r="R20" s="134"/>
      <c r="S20" s="57">
        <f t="shared" si="20"/>
        <v>161414.35</v>
      </c>
      <c r="T20" s="58">
        <f t="shared" si="24"/>
        <v>1.48157153192664</v>
      </c>
      <c r="U20" s="58">
        <f t="shared" si="25"/>
        <v>1.8726607147907599</v>
      </c>
      <c r="V20" s="57">
        <f>威高广场3月实际!F20</f>
        <v>659782.5</v>
      </c>
      <c r="W20" s="57">
        <f>威高广场3月实际!G20</f>
        <v>659782.5</v>
      </c>
      <c r="X20" s="135"/>
      <c r="Y20" s="136"/>
      <c r="Z20" s="135"/>
      <c r="AA20" s="136"/>
      <c r="AB20" s="136"/>
      <c r="AC20" s="135"/>
      <c r="AD20" s="135"/>
      <c r="AE20" s="135"/>
      <c r="AF20" s="136"/>
      <c r="AG20" s="135"/>
      <c r="AH20" s="136"/>
      <c r="AI20" s="136"/>
      <c r="AJ20" s="135"/>
      <c r="AK20" s="135"/>
      <c r="AL20" s="135"/>
      <c r="AM20" s="136"/>
      <c r="AN20" s="135"/>
      <c r="AO20" s="136"/>
      <c r="AP20" s="136"/>
      <c r="AQ20" s="135"/>
      <c r="AR20" s="135"/>
      <c r="AS20" s="135"/>
      <c r="AT20" s="136"/>
      <c r="AU20" s="135"/>
      <c r="AV20" s="136"/>
      <c r="AW20" s="136"/>
      <c r="AX20" s="135"/>
      <c r="AY20" s="135"/>
      <c r="AZ20" s="135"/>
      <c r="BA20" s="70"/>
      <c r="BB20" s="71"/>
      <c r="BC20" s="129"/>
      <c r="BD20" s="70"/>
      <c r="BE20" s="127"/>
      <c r="BF20" s="135"/>
      <c r="BG20" s="127"/>
      <c r="BH20" s="130"/>
      <c r="BI20" s="71"/>
      <c r="BJ20" s="129"/>
      <c r="BK20" s="70"/>
      <c r="BL20" s="138"/>
      <c r="BM20" s="138"/>
      <c r="BN20" s="138"/>
      <c r="BO20" s="130"/>
      <c r="BP20" s="71"/>
      <c r="BQ20" s="129"/>
      <c r="BR20" s="70"/>
      <c r="BS20" s="142"/>
      <c r="BT20" s="142"/>
      <c r="BU20" s="132"/>
      <c r="BV20" s="70"/>
      <c r="BW20" s="71"/>
      <c r="BX20" s="129"/>
      <c r="BY20" s="70"/>
      <c r="BZ20" s="127"/>
      <c r="CA20" s="140"/>
      <c r="CB20" s="135"/>
      <c r="CC20" s="70"/>
      <c r="CD20" s="71"/>
      <c r="CE20" s="129"/>
      <c r="CF20" s="70"/>
      <c r="CG20" s="135"/>
      <c r="CH20" s="135"/>
      <c r="CI20" s="135"/>
      <c r="CJ20" s="70" t="e">
        <f t="shared" si="14"/>
        <v>#DIV/0!</v>
      </c>
      <c r="CK20" s="71">
        <f t="shared" si="15"/>
        <v>0</v>
      </c>
      <c r="CL20" s="129" t="e">
        <f t="shared" si="16"/>
        <v>#DIV/0!</v>
      </c>
      <c r="CM20" s="70" t="e">
        <f t="shared" si="17"/>
        <v>#DIV/0!</v>
      </c>
    </row>
    <row r="21" spans="1:91" s="31" customFormat="1" ht="23.25" customHeight="1">
      <c r="A21" s="726"/>
      <c r="B21" s="74" t="s">
        <v>112</v>
      </c>
      <c r="C21" s="56" t="s">
        <v>113</v>
      </c>
      <c r="D21" s="133">
        <v>6457551.3200000003</v>
      </c>
      <c r="E21" s="57">
        <v>6584309</v>
      </c>
      <c r="F21" s="57">
        <f t="shared" si="21"/>
        <v>1038224.32</v>
      </c>
      <c r="G21" s="143">
        <f t="shared" si="13"/>
        <v>0.157681591188992</v>
      </c>
      <c r="H21" s="144">
        <v>517775.66</v>
      </c>
      <c r="I21" s="145">
        <v>517775.66</v>
      </c>
      <c r="J21" s="57">
        <f>威高广场1月实际!I21</f>
        <v>517775.66</v>
      </c>
      <c r="K21" s="58">
        <f t="shared" si="22"/>
        <v>2.4496830572614599E-2</v>
      </c>
      <c r="L21" s="57">
        <f t="shared" si="23"/>
        <v>0</v>
      </c>
      <c r="M21" s="59">
        <f t="shared" si="18"/>
        <v>1</v>
      </c>
      <c r="N21" s="59">
        <f t="shared" si="19"/>
        <v>1</v>
      </c>
      <c r="O21" s="57">
        <f>威高广场2月实际!F21</f>
        <v>520448.66</v>
      </c>
      <c r="P21" s="57">
        <f>威高广场2月实际!G21</f>
        <v>520448.66</v>
      </c>
      <c r="Q21" s="57">
        <f>威高广场2月实际!I21</f>
        <v>520448.66</v>
      </c>
      <c r="R21" s="134"/>
      <c r="S21" s="57">
        <f t="shared" si="20"/>
        <v>0</v>
      </c>
      <c r="T21" s="58">
        <f t="shared" si="24"/>
        <v>1</v>
      </c>
      <c r="U21" s="58">
        <f t="shared" si="25"/>
        <v>1</v>
      </c>
      <c r="V21" s="57">
        <f>威高广场3月实际!F21</f>
        <v>517775.66</v>
      </c>
      <c r="W21" s="57">
        <f>威高广场3月实际!G21</f>
        <v>517775.66</v>
      </c>
      <c r="X21" s="135"/>
      <c r="Y21" s="136"/>
      <c r="Z21" s="135"/>
      <c r="AA21" s="136"/>
      <c r="AB21" s="136"/>
      <c r="AC21" s="144">
        <v>517775.66</v>
      </c>
      <c r="AD21" s="145">
        <v>517775.66</v>
      </c>
      <c r="AE21" s="135"/>
      <c r="AF21" s="136"/>
      <c r="AG21" s="135"/>
      <c r="AH21" s="136"/>
      <c r="AI21" s="136"/>
      <c r="AJ21" s="135"/>
      <c r="AK21" s="135"/>
      <c r="AL21" s="135"/>
      <c r="AM21" s="136"/>
      <c r="AN21" s="135"/>
      <c r="AO21" s="136"/>
      <c r="AP21" s="136"/>
      <c r="AQ21" s="135"/>
      <c r="AR21" s="135"/>
      <c r="AS21" s="135"/>
      <c r="AT21" s="136"/>
      <c r="AU21" s="135"/>
      <c r="AV21" s="136"/>
      <c r="AW21" s="136"/>
      <c r="AX21" s="135"/>
      <c r="AY21" s="135"/>
      <c r="AZ21" s="135"/>
      <c r="BA21" s="70"/>
      <c r="BB21" s="71"/>
      <c r="BC21" s="129"/>
      <c r="BD21" s="70"/>
      <c r="BE21" s="127"/>
      <c r="BF21" s="135"/>
      <c r="BG21" s="127"/>
      <c r="BH21" s="130"/>
      <c r="BI21" s="71"/>
      <c r="BJ21" s="129"/>
      <c r="BK21" s="70"/>
      <c r="BL21" s="137"/>
      <c r="BM21" s="137"/>
      <c r="BN21" s="137"/>
      <c r="BO21" s="130"/>
      <c r="BP21" s="71"/>
      <c r="BQ21" s="129"/>
      <c r="BR21" s="70"/>
      <c r="BS21" s="139"/>
      <c r="BT21" s="139"/>
      <c r="BU21" s="132"/>
      <c r="BV21" s="70"/>
      <c r="BW21" s="71"/>
      <c r="BX21" s="129"/>
      <c r="BY21" s="70"/>
      <c r="BZ21" s="127"/>
      <c r="CA21" s="127"/>
      <c r="CB21" s="135"/>
      <c r="CC21" s="70"/>
      <c r="CD21" s="71"/>
      <c r="CE21" s="129"/>
      <c r="CF21" s="70"/>
      <c r="CG21" s="135"/>
      <c r="CH21" s="135"/>
      <c r="CI21" s="135"/>
      <c r="CJ21" s="70" t="e">
        <f t="shared" si="14"/>
        <v>#DIV/0!</v>
      </c>
      <c r="CK21" s="71">
        <f t="shared" si="15"/>
        <v>0</v>
      </c>
      <c r="CL21" s="129" t="e">
        <f t="shared" si="16"/>
        <v>#DIV/0!</v>
      </c>
      <c r="CM21" s="70" t="e">
        <f t="shared" si="17"/>
        <v>#DIV/0!</v>
      </c>
    </row>
    <row r="22" spans="1:91" s="31" customFormat="1" ht="23.25" customHeight="1">
      <c r="A22" s="726"/>
      <c r="B22" s="74" t="s">
        <v>114</v>
      </c>
      <c r="C22" s="56" t="s">
        <v>115</v>
      </c>
      <c r="D22" s="133">
        <v>3512402</v>
      </c>
      <c r="E22" s="57">
        <v>4535000</v>
      </c>
      <c r="F22" s="57">
        <f t="shared" si="21"/>
        <v>323458</v>
      </c>
      <c r="G22" s="58">
        <f t="shared" si="13"/>
        <v>7.1324807056229303E-2</v>
      </c>
      <c r="H22" s="146">
        <v>332500</v>
      </c>
      <c r="I22" s="57">
        <v>332500</v>
      </c>
      <c r="J22" s="57">
        <f>威高广场1月实际!I22</f>
        <v>200122</v>
      </c>
      <c r="K22" s="58">
        <f t="shared" si="22"/>
        <v>9.4681057967320702E-3</v>
      </c>
      <c r="L22" s="57">
        <f t="shared" si="23"/>
        <v>-132378</v>
      </c>
      <c r="M22" s="59">
        <f t="shared" si="18"/>
        <v>0.601870676691729</v>
      </c>
      <c r="N22" s="59">
        <f t="shared" si="19"/>
        <v>0.601870676691729</v>
      </c>
      <c r="O22" s="57">
        <f>威高广场2月实际!F22</f>
        <v>291720</v>
      </c>
      <c r="P22" s="57">
        <f>威高广场2月实际!G22</f>
        <v>221500</v>
      </c>
      <c r="Q22" s="57">
        <f>威高广场2月实际!I22</f>
        <v>123336</v>
      </c>
      <c r="R22" s="134"/>
      <c r="S22" s="57">
        <f t="shared" si="20"/>
        <v>-98164</v>
      </c>
      <c r="T22" s="58">
        <f t="shared" si="24"/>
        <v>0.55682167042889397</v>
      </c>
      <c r="U22" s="58">
        <f t="shared" si="25"/>
        <v>0.42278897573015201</v>
      </c>
      <c r="V22" s="57">
        <f>威高广场3月实际!F22</f>
        <v>243383</v>
      </c>
      <c r="W22" s="57">
        <f>威高广场3月实际!G22</f>
        <v>243383</v>
      </c>
      <c r="X22" s="135"/>
      <c r="Y22" s="136"/>
      <c r="Z22" s="135"/>
      <c r="AA22" s="136"/>
      <c r="AB22" s="136"/>
      <c r="AC22" s="135"/>
      <c r="AD22" s="135"/>
      <c r="AE22" s="135"/>
      <c r="AF22" s="136"/>
      <c r="AG22" s="135"/>
      <c r="AH22" s="136"/>
      <c r="AI22" s="136"/>
      <c r="AJ22" s="135"/>
      <c r="AK22" s="135"/>
      <c r="AL22" s="135"/>
      <c r="AM22" s="136"/>
      <c r="AN22" s="135"/>
      <c r="AO22" s="136"/>
      <c r="AP22" s="136"/>
      <c r="AQ22" s="135"/>
      <c r="AR22" s="135"/>
      <c r="AS22" s="135"/>
      <c r="AT22" s="136"/>
      <c r="AU22" s="135"/>
      <c r="AV22" s="136"/>
      <c r="AW22" s="136"/>
      <c r="AX22" s="135"/>
      <c r="AY22" s="135"/>
      <c r="AZ22" s="135"/>
      <c r="BA22" s="70"/>
      <c r="BB22" s="71"/>
      <c r="BC22" s="129"/>
      <c r="BD22" s="70"/>
      <c r="BE22" s="127"/>
      <c r="BF22" s="135"/>
      <c r="BG22" s="127"/>
      <c r="BH22" s="130"/>
      <c r="BI22" s="71"/>
      <c r="BJ22" s="129"/>
      <c r="BK22" s="70"/>
      <c r="BL22" s="137"/>
      <c r="BM22" s="137"/>
      <c r="BN22" s="138"/>
      <c r="BO22" s="130"/>
      <c r="BP22" s="71"/>
      <c r="BQ22" s="129"/>
      <c r="BR22" s="70"/>
      <c r="BS22" s="139"/>
      <c r="BT22" s="139"/>
      <c r="BU22" s="132"/>
      <c r="BV22" s="70"/>
      <c r="BW22" s="71"/>
      <c r="BX22" s="129"/>
      <c r="BY22" s="70"/>
      <c r="BZ22" s="127"/>
      <c r="CA22" s="140"/>
      <c r="CB22" s="135"/>
      <c r="CC22" s="70"/>
      <c r="CD22" s="71"/>
      <c r="CE22" s="129"/>
      <c r="CF22" s="70"/>
      <c r="CG22" s="135"/>
      <c r="CH22" s="135"/>
      <c r="CI22" s="135"/>
      <c r="CJ22" s="70" t="e">
        <f t="shared" si="14"/>
        <v>#DIV/0!</v>
      </c>
      <c r="CK22" s="71">
        <f t="shared" si="15"/>
        <v>0</v>
      </c>
      <c r="CL22" s="129" t="e">
        <f t="shared" si="16"/>
        <v>#DIV/0!</v>
      </c>
      <c r="CM22" s="70" t="e">
        <f t="shared" si="17"/>
        <v>#DIV/0!</v>
      </c>
    </row>
    <row r="23" spans="1:91" s="31" customFormat="1" ht="23.25" customHeight="1">
      <c r="A23" s="726"/>
      <c r="B23" s="74" t="s">
        <v>116</v>
      </c>
      <c r="C23" s="56" t="s">
        <v>117</v>
      </c>
      <c r="D23" s="133">
        <v>2133874</v>
      </c>
      <c r="E23" s="57">
        <v>2676782</v>
      </c>
      <c r="F23" s="57">
        <f t="shared" si="21"/>
        <v>405640.06</v>
      </c>
      <c r="G23" s="58">
        <f t="shared" si="13"/>
        <v>0.15154019266417701</v>
      </c>
      <c r="H23" s="57">
        <v>182532</v>
      </c>
      <c r="I23" s="57">
        <v>182532</v>
      </c>
      <c r="J23" s="57">
        <f>威高广场1月实际!I23</f>
        <v>210429</v>
      </c>
      <c r="K23" s="58">
        <f t="shared" si="22"/>
        <v>9.9557471677303496E-3</v>
      </c>
      <c r="L23" s="57">
        <f t="shared" si="23"/>
        <v>27897</v>
      </c>
      <c r="M23" s="59">
        <f t="shared" si="18"/>
        <v>1.1528334757741101</v>
      </c>
      <c r="N23" s="59">
        <f t="shared" si="19"/>
        <v>1.1528334757741101</v>
      </c>
      <c r="O23" s="57">
        <f>威高广场2月实际!F23</f>
        <v>210429</v>
      </c>
      <c r="P23" s="57">
        <f>威高广场2月实际!G23</f>
        <v>210429</v>
      </c>
      <c r="Q23" s="57">
        <f>威高广场2月实际!I23</f>
        <v>195211.06</v>
      </c>
      <c r="R23" s="134"/>
      <c r="S23" s="57">
        <f t="shared" ref="S23:S34" si="26">Q23-P23</f>
        <v>-15217.94</v>
      </c>
      <c r="T23" s="58">
        <f t="shared" si="24"/>
        <v>0.92768135570667498</v>
      </c>
      <c r="U23" s="58">
        <f t="shared" si="25"/>
        <v>0.92768135570667498</v>
      </c>
      <c r="V23" s="57">
        <f>威高广场3月实际!F23</f>
        <v>176365</v>
      </c>
      <c r="W23" s="57">
        <f>威高广场3月实际!G23</f>
        <v>176365</v>
      </c>
      <c r="X23" s="135"/>
      <c r="Y23" s="136"/>
      <c r="Z23" s="135"/>
      <c r="AA23" s="136"/>
      <c r="AB23" s="136"/>
      <c r="AC23" s="135"/>
      <c r="AD23" s="135"/>
      <c r="AE23" s="135"/>
      <c r="AF23" s="136"/>
      <c r="AG23" s="135"/>
      <c r="AH23" s="136"/>
      <c r="AI23" s="136"/>
      <c r="AJ23" s="135"/>
      <c r="AK23" s="135"/>
      <c r="AL23" s="135"/>
      <c r="AM23" s="136"/>
      <c r="AN23" s="135"/>
      <c r="AO23" s="136"/>
      <c r="AP23" s="136"/>
      <c r="AQ23" s="135"/>
      <c r="AR23" s="135"/>
      <c r="AS23" s="135"/>
      <c r="AT23" s="136"/>
      <c r="AU23" s="135"/>
      <c r="AV23" s="136"/>
      <c r="AW23" s="136"/>
      <c r="AX23" s="135"/>
      <c r="AY23" s="135"/>
      <c r="AZ23" s="135"/>
      <c r="BA23" s="70"/>
      <c r="BB23" s="71"/>
      <c r="BC23" s="129"/>
      <c r="BD23" s="70"/>
      <c r="BE23" s="127"/>
      <c r="BF23" s="135"/>
      <c r="BG23" s="127"/>
      <c r="BH23" s="130"/>
      <c r="BI23" s="71"/>
      <c r="BJ23" s="129"/>
      <c r="BK23" s="70"/>
      <c r="BL23" s="138"/>
      <c r="BM23" s="138"/>
      <c r="BN23" s="138"/>
      <c r="BO23" s="130"/>
      <c r="BP23" s="71"/>
      <c r="BQ23" s="129"/>
      <c r="BR23" s="70"/>
      <c r="BS23" s="139"/>
      <c r="BT23" s="139"/>
      <c r="BU23" s="132"/>
      <c r="BV23" s="70"/>
      <c r="BW23" s="71"/>
      <c r="BX23" s="129"/>
      <c r="BY23" s="70"/>
      <c r="BZ23" s="127"/>
      <c r="CA23" s="127"/>
      <c r="CB23" s="135"/>
      <c r="CC23" s="70"/>
      <c r="CD23" s="71"/>
      <c r="CE23" s="129"/>
      <c r="CF23" s="70"/>
      <c r="CG23" s="135"/>
      <c r="CH23" s="135"/>
      <c r="CI23" s="135"/>
      <c r="CJ23" s="70" t="e">
        <f t="shared" si="14"/>
        <v>#DIV/0!</v>
      </c>
      <c r="CK23" s="71">
        <f t="shared" si="15"/>
        <v>0</v>
      </c>
      <c r="CL23" s="129" t="e">
        <f t="shared" si="16"/>
        <v>#DIV/0!</v>
      </c>
      <c r="CM23" s="70" t="e">
        <f t="shared" si="17"/>
        <v>#DIV/0!</v>
      </c>
    </row>
    <row r="24" spans="1:91" s="31" customFormat="1" ht="23.25" customHeight="1">
      <c r="A24" s="726"/>
      <c r="B24" s="74" t="s">
        <v>118</v>
      </c>
      <c r="C24" s="56" t="s">
        <v>119</v>
      </c>
      <c r="D24" s="133">
        <v>74053.740000000005</v>
      </c>
      <c r="E24" s="57">
        <v>97200</v>
      </c>
      <c r="F24" s="57">
        <f t="shared" si="21"/>
        <v>101546</v>
      </c>
      <c r="G24" s="58">
        <f t="shared" si="13"/>
        <v>1.04471193415638</v>
      </c>
      <c r="H24" s="57">
        <v>0</v>
      </c>
      <c r="I24" s="57">
        <v>0</v>
      </c>
      <c r="J24" s="57">
        <f>威高广场1月实际!I24</f>
        <v>0</v>
      </c>
      <c r="K24" s="58">
        <f t="shared" si="22"/>
        <v>0</v>
      </c>
      <c r="L24" s="57">
        <f t="shared" ref="L24:L35" si="27">J24-I24</f>
        <v>0</v>
      </c>
      <c r="M24" s="59" t="e">
        <f t="shared" si="18"/>
        <v>#DIV/0!</v>
      </c>
      <c r="N24" s="59" t="e">
        <f t="shared" si="19"/>
        <v>#DIV/0!</v>
      </c>
      <c r="O24" s="57">
        <f>威高广场2月实际!F24</f>
        <v>101546</v>
      </c>
      <c r="P24" s="57">
        <f>威高广场2月实际!G24</f>
        <v>101546</v>
      </c>
      <c r="Q24" s="57">
        <f>威高广场2月实际!I24</f>
        <v>101546</v>
      </c>
      <c r="R24" s="134"/>
      <c r="S24" s="57">
        <f t="shared" si="26"/>
        <v>0</v>
      </c>
      <c r="T24" s="58">
        <f t="shared" si="24"/>
        <v>1</v>
      </c>
      <c r="U24" s="58">
        <f t="shared" si="25"/>
        <v>1</v>
      </c>
      <c r="V24" s="57">
        <f>威高广场3月实际!F24</f>
        <v>16800</v>
      </c>
      <c r="W24" s="57">
        <f>威高广场3月实际!G24</f>
        <v>16800</v>
      </c>
      <c r="X24" s="135"/>
      <c r="Y24" s="136"/>
      <c r="Z24" s="135"/>
      <c r="AA24" s="136"/>
      <c r="AB24" s="136"/>
      <c r="AC24" s="135"/>
      <c r="AD24" s="135"/>
      <c r="AE24" s="135"/>
      <c r="AF24" s="136"/>
      <c r="AG24" s="135"/>
      <c r="AH24" s="136"/>
      <c r="AI24" s="136"/>
      <c r="AJ24" s="135"/>
      <c r="AK24" s="135"/>
      <c r="AL24" s="135"/>
      <c r="AM24" s="136"/>
      <c r="AN24" s="135"/>
      <c r="AO24" s="136"/>
      <c r="AP24" s="136"/>
      <c r="AQ24" s="135"/>
      <c r="AR24" s="135"/>
      <c r="AS24" s="135"/>
      <c r="AT24" s="136"/>
      <c r="AU24" s="135"/>
      <c r="AV24" s="136"/>
      <c r="AW24" s="136"/>
      <c r="AX24" s="135"/>
      <c r="AY24" s="135"/>
      <c r="AZ24" s="135"/>
      <c r="BA24" s="70"/>
      <c r="BB24" s="71"/>
      <c r="BC24" s="129"/>
      <c r="BD24" s="70"/>
      <c r="BE24" s="127"/>
      <c r="BF24" s="135"/>
      <c r="BG24" s="127"/>
      <c r="BH24" s="130"/>
      <c r="BI24" s="71"/>
      <c r="BJ24" s="129"/>
      <c r="BK24" s="70"/>
      <c r="BL24" s="137"/>
      <c r="BM24" s="137"/>
      <c r="BN24" s="135"/>
      <c r="BO24" s="130"/>
      <c r="BP24" s="71"/>
      <c r="BQ24" s="129"/>
      <c r="BR24" s="70"/>
      <c r="BS24" s="139"/>
      <c r="BT24" s="139"/>
      <c r="BU24" s="132"/>
      <c r="BV24" s="70"/>
      <c r="BW24" s="71"/>
      <c r="BX24" s="129"/>
      <c r="BY24" s="70"/>
      <c r="BZ24" s="127"/>
      <c r="CA24" s="127"/>
      <c r="CB24" s="135"/>
      <c r="CC24" s="70"/>
      <c r="CD24" s="71"/>
      <c r="CE24" s="129"/>
      <c r="CF24" s="70"/>
      <c r="CG24" s="135"/>
      <c r="CH24" s="135"/>
      <c r="CI24" s="135"/>
      <c r="CJ24" s="70" t="e">
        <f t="shared" si="14"/>
        <v>#DIV/0!</v>
      </c>
      <c r="CK24" s="71">
        <f t="shared" si="15"/>
        <v>0</v>
      </c>
      <c r="CL24" s="129" t="e">
        <f t="shared" si="16"/>
        <v>#DIV/0!</v>
      </c>
      <c r="CM24" s="70" t="e">
        <f t="shared" si="17"/>
        <v>#DIV/0!</v>
      </c>
    </row>
    <row r="25" spans="1:91" s="31" customFormat="1" ht="23.25" customHeight="1">
      <c r="A25" s="726"/>
      <c r="B25" s="74" t="s">
        <v>120</v>
      </c>
      <c r="C25" s="56" t="s">
        <v>243</v>
      </c>
      <c r="D25" s="133">
        <v>1233414</v>
      </c>
      <c r="E25" s="57">
        <v>620786.56499999994</v>
      </c>
      <c r="F25" s="57">
        <f t="shared" si="21"/>
        <v>18000</v>
      </c>
      <c r="G25" s="58">
        <f t="shared" si="13"/>
        <v>2.8995472864332999E-2</v>
      </c>
      <c r="H25" s="57">
        <v>4720</v>
      </c>
      <c r="I25" s="57">
        <v>4720</v>
      </c>
      <c r="J25" s="57">
        <f>威高广场1月实际!I25</f>
        <v>18000</v>
      </c>
      <c r="K25" s="58">
        <f t="shared" si="22"/>
        <v>8.51610039581742E-4</v>
      </c>
      <c r="L25" s="57">
        <f t="shared" si="27"/>
        <v>13280</v>
      </c>
      <c r="M25" s="59">
        <f t="shared" si="18"/>
        <v>3.8135593220339001</v>
      </c>
      <c r="N25" s="59">
        <f t="shared" si="19"/>
        <v>3.8135593220339001</v>
      </c>
      <c r="O25" s="57">
        <f>威高广场2月实际!F25</f>
        <v>50509.68</v>
      </c>
      <c r="P25" s="57">
        <f>威高广场2月实际!G25</f>
        <v>50509.68</v>
      </c>
      <c r="Q25" s="57">
        <v>0</v>
      </c>
      <c r="R25" s="134"/>
      <c r="S25" s="57">
        <f t="shared" si="26"/>
        <v>-50509.68</v>
      </c>
      <c r="T25" s="58">
        <f t="shared" si="24"/>
        <v>0</v>
      </c>
      <c r="U25" s="58">
        <f t="shared" si="25"/>
        <v>0</v>
      </c>
      <c r="V25" s="57">
        <f>威高广场3月实际!F25</f>
        <v>99066.42</v>
      </c>
      <c r="W25" s="57">
        <f>威高广场3月实际!G25</f>
        <v>99066.42</v>
      </c>
      <c r="X25" s="135"/>
      <c r="Y25" s="136"/>
      <c r="Z25" s="135"/>
      <c r="AA25" s="136"/>
      <c r="AB25" s="136"/>
      <c r="AC25" s="135"/>
      <c r="AD25" s="135"/>
      <c r="AE25" s="135"/>
      <c r="AF25" s="136"/>
      <c r="AG25" s="135"/>
      <c r="AH25" s="136"/>
      <c r="AI25" s="136"/>
      <c r="AJ25" s="135"/>
      <c r="AK25" s="135"/>
      <c r="AL25" s="135"/>
      <c r="AM25" s="136"/>
      <c r="AN25" s="135"/>
      <c r="AO25" s="136"/>
      <c r="AP25" s="136"/>
      <c r="AQ25" s="135"/>
      <c r="AR25" s="135"/>
      <c r="AS25" s="135"/>
      <c r="AT25" s="136"/>
      <c r="AU25" s="135"/>
      <c r="AV25" s="136"/>
      <c r="AW25" s="136"/>
      <c r="AX25" s="135"/>
      <c r="AY25" s="135"/>
      <c r="AZ25" s="135"/>
      <c r="BA25" s="70"/>
      <c r="BB25" s="71"/>
      <c r="BC25" s="129"/>
      <c r="BD25" s="70"/>
      <c r="BE25" s="127"/>
      <c r="BF25" s="135"/>
      <c r="BG25" s="127"/>
      <c r="BH25" s="130"/>
      <c r="BI25" s="71"/>
      <c r="BJ25" s="129"/>
      <c r="BK25" s="70"/>
      <c r="BL25" s="135"/>
      <c r="BM25" s="135"/>
      <c r="BN25" s="138"/>
      <c r="BO25" s="130"/>
      <c r="BP25" s="71"/>
      <c r="BQ25" s="129"/>
      <c r="BR25" s="70"/>
      <c r="BS25" s="139"/>
      <c r="BT25" s="139"/>
      <c r="BU25" s="131"/>
      <c r="BV25" s="70"/>
      <c r="BW25" s="71"/>
      <c r="BX25" s="129"/>
      <c r="BY25" s="70"/>
      <c r="BZ25" s="127"/>
      <c r="CA25" s="127"/>
      <c r="CB25" s="135"/>
      <c r="CC25" s="70"/>
      <c r="CD25" s="71"/>
      <c r="CE25" s="129"/>
      <c r="CF25" s="70"/>
      <c r="CG25" s="135"/>
      <c r="CH25" s="135"/>
      <c r="CI25" s="135"/>
      <c r="CJ25" s="70" t="e">
        <f t="shared" si="14"/>
        <v>#DIV/0!</v>
      </c>
      <c r="CK25" s="71">
        <f t="shared" si="15"/>
        <v>0</v>
      </c>
      <c r="CL25" s="129" t="e">
        <f t="shared" si="16"/>
        <v>#DIV/0!</v>
      </c>
      <c r="CM25" s="70" t="e">
        <f t="shared" si="17"/>
        <v>#DIV/0!</v>
      </c>
    </row>
    <row r="26" spans="1:91" s="31" customFormat="1" ht="23.25" customHeight="1">
      <c r="A26" s="726"/>
      <c r="B26" s="74" t="s">
        <v>122</v>
      </c>
      <c r="C26" s="56" t="s">
        <v>121</v>
      </c>
      <c r="D26" s="133">
        <v>630111.34</v>
      </c>
      <c r="E26" s="57">
        <v>682100</v>
      </c>
      <c r="F26" s="57">
        <f t="shared" si="21"/>
        <v>123100</v>
      </c>
      <c r="G26" s="58">
        <f>F26/E25</f>
        <v>0.198296817199966</v>
      </c>
      <c r="H26" s="57">
        <v>67200</v>
      </c>
      <c r="I26" s="57">
        <v>67200</v>
      </c>
      <c r="J26" s="57">
        <f>威高广场1月实际!I26</f>
        <v>67200</v>
      </c>
      <c r="K26" s="58">
        <f t="shared" si="22"/>
        <v>3.1793441477718401E-3</v>
      </c>
      <c r="L26" s="57">
        <f t="shared" si="27"/>
        <v>0</v>
      </c>
      <c r="M26" s="59">
        <f t="shared" si="18"/>
        <v>1</v>
      </c>
      <c r="N26" s="59">
        <f t="shared" si="19"/>
        <v>1</v>
      </c>
      <c r="O26" s="57">
        <f>威高广场2月实际!F26</f>
        <v>67200</v>
      </c>
      <c r="P26" s="57">
        <f>威高广场2月实际!G26</f>
        <v>67200</v>
      </c>
      <c r="Q26" s="57">
        <f>威高广场2月实际!I26</f>
        <v>55900</v>
      </c>
      <c r="R26" s="134"/>
      <c r="S26" s="57">
        <f t="shared" si="26"/>
        <v>-11300</v>
      </c>
      <c r="T26" s="58">
        <f t="shared" si="24"/>
        <v>0.83184523809523803</v>
      </c>
      <c r="U26" s="58">
        <f t="shared" si="25"/>
        <v>0.83184523809523803</v>
      </c>
      <c r="V26" s="57">
        <f>威高广场3月实际!F26</f>
        <v>55900</v>
      </c>
      <c r="W26" s="57">
        <f>威高广场3月实际!G26</f>
        <v>55900</v>
      </c>
      <c r="X26" s="135"/>
      <c r="Y26" s="136"/>
      <c r="Z26" s="135"/>
      <c r="AA26" s="136"/>
      <c r="AB26" s="136"/>
      <c r="AC26" s="135"/>
      <c r="AD26" s="135"/>
      <c r="AE26" s="135"/>
      <c r="AF26" s="136"/>
      <c r="AG26" s="135"/>
      <c r="AH26" s="136"/>
      <c r="AI26" s="136"/>
      <c r="AJ26" s="135"/>
      <c r="AK26" s="135"/>
      <c r="AL26" s="135"/>
      <c r="AM26" s="136"/>
      <c r="AN26" s="135"/>
      <c r="AO26" s="136"/>
      <c r="AP26" s="136"/>
      <c r="AQ26" s="135"/>
      <c r="AR26" s="135"/>
      <c r="AS26" s="135"/>
      <c r="AT26" s="136"/>
      <c r="AU26" s="135"/>
      <c r="AV26" s="136"/>
      <c r="AW26" s="136"/>
      <c r="AX26" s="135"/>
      <c r="AY26" s="135"/>
      <c r="AZ26" s="135"/>
      <c r="BA26" s="70"/>
      <c r="BB26" s="71"/>
      <c r="BC26" s="129"/>
      <c r="BD26" s="70"/>
      <c r="BE26" s="127"/>
      <c r="BF26" s="135"/>
      <c r="BG26" s="127"/>
      <c r="BH26" s="130"/>
      <c r="BI26" s="71"/>
      <c r="BJ26" s="129"/>
      <c r="BK26" s="70"/>
      <c r="BL26" s="137"/>
      <c r="BM26" s="137"/>
      <c r="BN26" s="137"/>
      <c r="BO26" s="130"/>
      <c r="BP26" s="71"/>
      <c r="BQ26" s="129"/>
      <c r="BR26" s="70"/>
      <c r="BS26" s="139"/>
      <c r="BT26" s="139"/>
      <c r="BU26" s="131"/>
      <c r="BV26" s="70"/>
      <c r="BW26" s="71"/>
      <c r="BX26" s="129"/>
      <c r="BY26" s="70"/>
      <c r="BZ26" s="127"/>
      <c r="CA26" s="127"/>
      <c r="CB26" s="135"/>
      <c r="CC26" s="70"/>
      <c r="CD26" s="71"/>
      <c r="CE26" s="129"/>
      <c r="CF26" s="70"/>
      <c r="CG26" s="135"/>
      <c r="CH26" s="135"/>
      <c r="CI26" s="135"/>
      <c r="CJ26" s="70" t="e">
        <f t="shared" si="14"/>
        <v>#DIV/0!</v>
      </c>
      <c r="CK26" s="71">
        <f t="shared" si="15"/>
        <v>0</v>
      </c>
      <c r="CL26" s="129" t="e">
        <f t="shared" si="16"/>
        <v>#DIV/0!</v>
      </c>
      <c r="CM26" s="70" t="e">
        <f t="shared" si="17"/>
        <v>#DIV/0!</v>
      </c>
    </row>
    <row r="27" spans="1:91" s="31" customFormat="1" ht="23.25" customHeight="1">
      <c r="A27" s="726"/>
      <c r="B27" s="147" t="s">
        <v>244</v>
      </c>
      <c r="C27" s="56" t="s">
        <v>123</v>
      </c>
      <c r="D27" s="133">
        <v>648651.75</v>
      </c>
      <c r="E27" s="57">
        <v>548400</v>
      </c>
      <c r="F27" s="57">
        <f t="shared" si="21"/>
        <v>90874.97</v>
      </c>
      <c r="G27" s="58">
        <f t="shared" ref="G27:G35" si="28">F27/E27</f>
        <v>0.16570928154631701</v>
      </c>
      <c r="H27" s="57">
        <v>43600</v>
      </c>
      <c r="I27" s="57">
        <v>43600</v>
      </c>
      <c r="J27" s="57">
        <f>威高广场1月实际!I27</f>
        <v>33758.47</v>
      </c>
      <c r="K27" s="58">
        <f t="shared" si="22"/>
        <v>1.5971695540510601E-3</v>
      </c>
      <c r="L27" s="57">
        <f t="shared" si="27"/>
        <v>-9841.5300000000007</v>
      </c>
      <c r="M27" s="59">
        <f t="shared" si="18"/>
        <v>0.77427683486238497</v>
      </c>
      <c r="N27" s="59">
        <f t="shared" si="19"/>
        <v>0.77427683486238497</v>
      </c>
      <c r="O27" s="57">
        <f>威高广场2月实际!F27</f>
        <v>33200</v>
      </c>
      <c r="P27" s="57">
        <f>威高广场2月实际!G27</f>
        <v>33200</v>
      </c>
      <c r="Q27" s="57">
        <f>威高广场2月实际!I27</f>
        <v>57116.5</v>
      </c>
      <c r="R27" s="134"/>
      <c r="S27" s="57">
        <f t="shared" si="26"/>
        <v>23916.5</v>
      </c>
      <c r="T27" s="58">
        <f t="shared" si="24"/>
        <v>1.7203765060241001</v>
      </c>
      <c r="U27" s="58">
        <f t="shared" si="25"/>
        <v>1.7203765060241001</v>
      </c>
      <c r="V27" s="57">
        <f>威高广场3月实际!F27</f>
        <v>68200</v>
      </c>
      <c r="W27" s="57">
        <f>威高广场3月实际!G27</f>
        <v>68200</v>
      </c>
      <c r="X27" s="135"/>
      <c r="Y27" s="136"/>
      <c r="Z27" s="135"/>
      <c r="AA27" s="136"/>
      <c r="AB27" s="136"/>
      <c r="AC27" s="135"/>
      <c r="AD27" s="135"/>
      <c r="AE27" s="135"/>
      <c r="AF27" s="136"/>
      <c r="AG27" s="135"/>
      <c r="AH27" s="136"/>
      <c r="AI27" s="136"/>
      <c r="AJ27" s="135"/>
      <c r="AK27" s="135"/>
      <c r="AL27" s="135"/>
      <c r="AM27" s="136"/>
      <c r="AN27" s="135"/>
      <c r="AO27" s="136"/>
      <c r="AP27" s="136"/>
      <c r="AQ27" s="135"/>
      <c r="AR27" s="135"/>
      <c r="AS27" s="135"/>
      <c r="AT27" s="136"/>
      <c r="AU27" s="135"/>
      <c r="AV27" s="136"/>
      <c r="AW27" s="136"/>
      <c r="AX27" s="135"/>
      <c r="AY27" s="135"/>
      <c r="AZ27" s="135"/>
      <c r="BA27" s="70"/>
      <c r="BB27" s="71"/>
      <c r="BC27" s="129"/>
      <c r="BD27" s="70"/>
      <c r="BE27" s="127"/>
      <c r="BF27" s="135"/>
      <c r="BG27" s="127"/>
      <c r="BH27" s="130"/>
      <c r="BI27" s="71"/>
      <c r="BJ27" s="129"/>
      <c r="BK27" s="70"/>
      <c r="BL27" s="137"/>
      <c r="BM27" s="137"/>
      <c r="BN27" s="138"/>
      <c r="BO27" s="130"/>
      <c r="BP27" s="71"/>
      <c r="BQ27" s="129"/>
      <c r="BR27" s="70"/>
      <c r="BS27" s="139"/>
      <c r="BT27" s="139"/>
      <c r="BU27" s="131"/>
      <c r="BV27" s="70"/>
      <c r="BW27" s="71"/>
      <c r="BX27" s="129"/>
      <c r="BY27" s="70"/>
      <c r="BZ27" s="127"/>
      <c r="CA27" s="127"/>
      <c r="CB27" s="135"/>
      <c r="CC27" s="70"/>
      <c r="CD27" s="71"/>
      <c r="CE27" s="129"/>
      <c r="CF27" s="70"/>
      <c r="CG27" s="135"/>
      <c r="CH27" s="135"/>
      <c r="CI27" s="135"/>
      <c r="CJ27" s="70" t="e">
        <f t="shared" si="14"/>
        <v>#DIV/0!</v>
      </c>
      <c r="CK27" s="71">
        <f t="shared" si="15"/>
        <v>0</v>
      </c>
      <c r="CL27" s="129" t="e">
        <f t="shared" si="16"/>
        <v>#DIV/0!</v>
      </c>
      <c r="CM27" s="70" t="e">
        <f t="shared" si="17"/>
        <v>#DIV/0!</v>
      </c>
    </row>
    <row r="28" spans="1:91" s="31" customFormat="1" ht="23.25" customHeight="1">
      <c r="A28" s="726"/>
      <c r="B28" s="147" t="s">
        <v>245</v>
      </c>
      <c r="C28" s="56" t="s">
        <v>124</v>
      </c>
      <c r="D28" s="133">
        <v>375135.49</v>
      </c>
      <c r="E28" s="57">
        <v>462600</v>
      </c>
      <c r="F28" s="57">
        <f t="shared" si="21"/>
        <v>35365.67</v>
      </c>
      <c r="G28" s="58">
        <f t="shared" si="28"/>
        <v>7.6449783830523102E-2</v>
      </c>
      <c r="H28" s="57">
        <v>36400</v>
      </c>
      <c r="I28" s="57">
        <v>36400</v>
      </c>
      <c r="J28" s="57">
        <f>威高广场1月实际!I29</f>
        <v>30968.67</v>
      </c>
      <c r="K28" s="58">
        <f t="shared" si="22"/>
        <v>1.46517946024966E-3</v>
      </c>
      <c r="L28" s="57">
        <f t="shared" si="27"/>
        <v>-5431.33</v>
      </c>
      <c r="M28" s="59">
        <f t="shared" si="18"/>
        <v>0.85078763736263696</v>
      </c>
      <c r="N28" s="59">
        <f t="shared" si="19"/>
        <v>0.85078763736263696</v>
      </c>
      <c r="O28" s="57">
        <f>威高广场2月实际!F28</f>
        <v>27000</v>
      </c>
      <c r="P28" s="57">
        <f>威高广场2月实际!G28</f>
        <v>27000</v>
      </c>
      <c r="Q28" s="57">
        <f>威高广场2月实际!I28</f>
        <v>4397</v>
      </c>
      <c r="R28" s="134"/>
      <c r="S28" s="57">
        <f t="shared" si="26"/>
        <v>-22603</v>
      </c>
      <c r="T28" s="58">
        <f t="shared" si="24"/>
        <v>0.162851851851852</v>
      </c>
      <c r="U28" s="58">
        <f t="shared" si="25"/>
        <v>0.162851851851852</v>
      </c>
      <c r="V28" s="57">
        <f>威高广场3月实际!F28</f>
        <v>10900</v>
      </c>
      <c r="W28" s="57">
        <f>威高广场3月实际!G28</f>
        <v>10900</v>
      </c>
      <c r="X28" s="135"/>
      <c r="Y28" s="136"/>
      <c r="Z28" s="135"/>
      <c r="AA28" s="136"/>
      <c r="AB28" s="136"/>
      <c r="AC28" s="135"/>
      <c r="AD28" s="135"/>
      <c r="AE28" s="135"/>
      <c r="AF28" s="136"/>
      <c r="AG28" s="135"/>
      <c r="AH28" s="136"/>
      <c r="AI28" s="136"/>
      <c r="AJ28" s="135"/>
      <c r="AK28" s="135"/>
      <c r="AL28" s="135"/>
      <c r="AM28" s="136"/>
      <c r="AN28" s="135"/>
      <c r="AO28" s="136"/>
      <c r="AP28" s="136"/>
      <c r="AQ28" s="135"/>
      <c r="AR28" s="135"/>
      <c r="AS28" s="135"/>
      <c r="AT28" s="136"/>
      <c r="AU28" s="135"/>
      <c r="AV28" s="136"/>
      <c r="AW28" s="136"/>
      <c r="AX28" s="135"/>
      <c r="AY28" s="135"/>
      <c r="AZ28" s="135"/>
      <c r="BA28" s="70"/>
      <c r="BB28" s="71"/>
      <c r="BC28" s="129"/>
      <c r="BD28" s="70"/>
      <c r="BE28" s="127"/>
      <c r="BF28" s="135"/>
      <c r="BG28" s="138"/>
      <c r="BH28" s="130"/>
      <c r="BI28" s="71"/>
      <c r="BJ28" s="129"/>
      <c r="BK28" s="70"/>
      <c r="BL28" s="137"/>
      <c r="BM28" s="137"/>
      <c r="BN28" s="138"/>
      <c r="BO28" s="130"/>
      <c r="BP28" s="71"/>
      <c r="BQ28" s="129"/>
      <c r="BR28" s="70"/>
      <c r="BS28" s="139"/>
      <c r="BT28" s="139"/>
      <c r="BU28" s="131"/>
      <c r="BV28" s="70"/>
      <c r="BW28" s="71"/>
      <c r="BX28" s="129"/>
      <c r="BY28" s="70"/>
      <c r="BZ28" s="127"/>
      <c r="CA28" s="127"/>
      <c r="CB28" s="135"/>
      <c r="CC28" s="70"/>
      <c r="CD28" s="71"/>
      <c r="CE28" s="129"/>
      <c r="CF28" s="70"/>
      <c r="CG28" s="135"/>
      <c r="CH28" s="135"/>
      <c r="CI28" s="135"/>
      <c r="CJ28" s="70" t="e">
        <f t="shared" si="14"/>
        <v>#DIV/0!</v>
      </c>
      <c r="CK28" s="71">
        <f t="shared" si="15"/>
        <v>0</v>
      </c>
      <c r="CL28" s="129" t="e">
        <f t="shared" si="16"/>
        <v>#DIV/0!</v>
      </c>
      <c r="CM28" s="70" t="e">
        <f t="shared" si="17"/>
        <v>#DIV/0!</v>
      </c>
    </row>
    <row r="29" spans="1:91" s="31" customFormat="1" ht="23.25" customHeight="1">
      <c r="A29" s="726"/>
      <c r="B29" s="74" t="s">
        <v>125</v>
      </c>
      <c r="C29" s="56" t="s">
        <v>126</v>
      </c>
      <c r="D29" s="133">
        <v>199055.34</v>
      </c>
      <c r="E29" s="57">
        <v>239500</v>
      </c>
      <c r="F29" s="57">
        <f t="shared" si="21"/>
        <v>36689.35</v>
      </c>
      <c r="G29" s="58">
        <f t="shared" si="28"/>
        <v>0.153191440501044</v>
      </c>
      <c r="H29" s="57">
        <v>36100</v>
      </c>
      <c r="I29" s="57">
        <v>36100</v>
      </c>
      <c r="J29" s="57">
        <f>威高广场1月实际!I28</f>
        <v>4523.38</v>
      </c>
      <c r="K29" s="58">
        <f t="shared" si="22"/>
        <v>2.1400865671351399E-4</v>
      </c>
      <c r="L29" s="57">
        <f t="shared" si="27"/>
        <v>-31576.62</v>
      </c>
      <c r="M29" s="59">
        <f t="shared" si="18"/>
        <v>0.125301385041551</v>
      </c>
      <c r="N29" s="59">
        <f t="shared" si="19"/>
        <v>0.125301385041551</v>
      </c>
      <c r="O29" s="57">
        <f>威高广场2月实际!F29</f>
        <v>37300</v>
      </c>
      <c r="P29" s="57">
        <f>威高广场2月实际!G29</f>
        <v>37300</v>
      </c>
      <c r="Q29" s="57">
        <f>威高广场2月实际!I29</f>
        <v>32165.97</v>
      </c>
      <c r="R29" s="134"/>
      <c r="S29" s="57">
        <f t="shared" si="26"/>
        <v>-5134.03</v>
      </c>
      <c r="T29" s="58">
        <f t="shared" si="24"/>
        <v>0.86235844504021497</v>
      </c>
      <c r="U29" s="58">
        <f t="shared" si="25"/>
        <v>0.86235844504021497</v>
      </c>
      <c r="V29" s="57">
        <f>威高广场3月实际!F29</f>
        <v>38300</v>
      </c>
      <c r="W29" s="57">
        <f>威高广场3月实际!G29</f>
        <v>38300</v>
      </c>
      <c r="X29" s="135"/>
      <c r="Y29" s="136"/>
      <c r="Z29" s="135"/>
      <c r="AA29" s="136"/>
      <c r="AB29" s="136"/>
      <c r="AC29" s="135"/>
      <c r="AD29" s="135"/>
      <c r="AE29" s="135"/>
      <c r="AF29" s="136"/>
      <c r="AG29" s="135"/>
      <c r="AH29" s="136"/>
      <c r="AI29" s="136"/>
      <c r="AJ29" s="135"/>
      <c r="AK29" s="135"/>
      <c r="AL29" s="135"/>
      <c r="AM29" s="136"/>
      <c r="AN29" s="135"/>
      <c r="AO29" s="136"/>
      <c r="AP29" s="136"/>
      <c r="AQ29" s="135"/>
      <c r="AR29" s="135"/>
      <c r="AS29" s="135"/>
      <c r="AT29" s="136"/>
      <c r="AU29" s="135"/>
      <c r="AV29" s="136"/>
      <c r="AW29" s="136"/>
      <c r="AX29" s="135"/>
      <c r="AY29" s="135"/>
      <c r="AZ29" s="135"/>
      <c r="BA29" s="70"/>
      <c r="BB29" s="71"/>
      <c r="BC29" s="129"/>
      <c r="BD29" s="70"/>
      <c r="BE29" s="127"/>
      <c r="BF29" s="135"/>
      <c r="BG29" s="138"/>
      <c r="BH29" s="130"/>
      <c r="BI29" s="71"/>
      <c r="BJ29" s="129"/>
      <c r="BK29" s="70"/>
      <c r="BL29" s="137"/>
      <c r="BM29" s="137"/>
      <c r="BN29" s="138"/>
      <c r="BO29" s="130"/>
      <c r="BP29" s="71"/>
      <c r="BQ29" s="129"/>
      <c r="BR29" s="70"/>
      <c r="BS29" s="139"/>
      <c r="BT29" s="139"/>
      <c r="BU29" s="131"/>
      <c r="BV29" s="70"/>
      <c r="BW29" s="71"/>
      <c r="BX29" s="129"/>
      <c r="BY29" s="70"/>
      <c r="BZ29" s="127"/>
      <c r="CA29" s="127"/>
      <c r="CB29" s="135"/>
      <c r="CC29" s="70"/>
      <c r="CD29" s="71"/>
      <c r="CE29" s="129"/>
      <c r="CF29" s="70"/>
      <c r="CG29" s="135"/>
      <c r="CH29" s="135"/>
      <c r="CI29" s="135"/>
      <c r="CJ29" s="70" t="e">
        <f t="shared" si="14"/>
        <v>#DIV/0!</v>
      </c>
      <c r="CK29" s="71">
        <f t="shared" si="15"/>
        <v>0</v>
      </c>
      <c r="CL29" s="129" t="e">
        <f t="shared" si="16"/>
        <v>#DIV/0!</v>
      </c>
      <c r="CM29" s="70" t="e">
        <f t="shared" si="17"/>
        <v>#DIV/0!</v>
      </c>
    </row>
    <row r="30" spans="1:91" s="31" customFormat="1" ht="23.25" customHeight="1">
      <c r="A30" s="726"/>
      <c r="B30" s="74" t="s">
        <v>128</v>
      </c>
      <c r="C30" s="56" t="s">
        <v>127</v>
      </c>
      <c r="D30" s="133">
        <v>120056.11</v>
      </c>
      <c r="E30" s="57">
        <v>201300</v>
      </c>
      <c r="F30" s="57">
        <f t="shared" si="21"/>
        <v>4030.47</v>
      </c>
      <c r="G30" s="58">
        <f t="shared" si="28"/>
        <v>2.00222056631893E-2</v>
      </c>
      <c r="H30" s="57">
        <v>15400</v>
      </c>
      <c r="I30" s="57">
        <v>15400</v>
      </c>
      <c r="J30" s="57">
        <f>威高广场1月实际!I30</f>
        <v>4030.47</v>
      </c>
      <c r="K30" s="58">
        <f t="shared" si="22"/>
        <v>1.9068826201294601E-4</v>
      </c>
      <c r="L30" s="57">
        <f t="shared" si="27"/>
        <v>-11369.53</v>
      </c>
      <c r="M30" s="59">
        <f t="shared" ref="M30:M36" si="29">J30/I30</f>
        <v>0.26171883116883099</v>
      </c>
      <c r="N30" s="59">
        <f t="shared" si="19"/>
        <v>0.26171883116883099</v>
      </c>
      <c r="O30" s="57">
        <f>威高广场2月实际!F30</f>
        <v>800</v>
      </c>
      <c r="P30" s="57">
        <f>威高广场2月实际!G30</f>
        <v>800</v>
      </c>
      <c r="Q30" s="127">
        <f>威高广场2月实际!I30</f>
        <v>0</v>
      </c>
      <c r="R30" s="134"/>
      <c r="S30" s="57">
        <f t="shared" si="26"/>
        <v>-800</v>
      </c>
      <c r="T30" s="58">
        <f t="shared" si="24"/>
        <v>0</v>
      </c>
      <c r="U30" s="58">
        <f t="shared" si="25"/>
        <v>0</v>
      </c>
      <c r="V30" s="57">
        <f>威高广场3月实际!F30</f>
        <v>21600</v>
      </c>
      <c r="W30" s="57">
        <f>威高广场3月实际!G30</f>
        <v>21600</v>
      </c>
      <c r="X30" s="135"/>
      <c r="Y30" s="136"/>
      <c r="Z30" s="135"/>
      <c r="AA30" s="136"/>
      <c r="AB30" s="136"/>
      <c r="AC30" s="135"/>
      <c r="AD30" s="135"/>
      <c r="AE30" s="135"/>
      <c r="AF30" s="136"/>
      <c r="AG30" s="135"/>
      <c r="AH30" s="136"/>
      <c r="AI30" s="136"/>
      <c r="AJ30" s="135"/>
      <c r="AK30" s="135"/>
      <c r="AL30" s="135"/>
      <c r="AM30" s="136"/>
      <c r="AN30" s="135"/>
      <c r="AO30" s="136"/>
      <c r="AP30" s="136"/>
      <c r="AQ30" s="135"/>
      <c r="AR30" s="135"/>
      <c r="AS30" s="135"/>
      <c r="AT30" s="136"/>
      <c r="AU30" s="135"/>
      <c r="AV30" s="136"/>
      <c r="AW30" s="136"/>
      <c r="AX30" s="135"/>
      <c r="AY30" s="135"/>
      <c r="AZ30" s="135"/>
      <c r="BA30" s="70"/>
      <c r="BB30" s="71"/>
      <c r="BC30" s="129"/>
      <c r="BD30" s="70"/>
      <c r="BE30" s="127"/>
      <c r="BF30" s="135"/>
      <c r="BG30" s="138"/>
      <c r="BH30" s="130"/>
      <c r="BI30" s="71"/>
      <c r="BJ30" s="129"/>
      <c r="BK30" s="70"/>
      <c r="BL30" s="148"/>
      <c r="BM30" s="148"/>
      <c r="BN30" s="149"/>
      <c r="BO30" s="130"/>
      <c r="BP30" s="71"/>
      <c r="BQ30" s="129"/>
      <c r="BR30" s="70"/>
      <c r="BS30" s="139"/>
      <c r="BT30" s="139"/>
      <c r="BU30" s="131"/>
      <c r="BV30" s="70"/>
      <c r="BW30" s="71"/>
      <c r="BX30" s="129"/>
      <c r="BY30" s="70"/>
      <c r="BZ30" s="127"/>
      <c r="CA30" s="127"/>
      <c r="CB30" s="135"/>
      <c r="CC30" s="70"/>
      <c r="CD30" s="71"/>
      <c r="CE30" s="129"/>
      <c r="CF30" s="70"/>
      <c r="CG30" s="135"/>
      <c r="CH30" s="135"/>
      <c r="CI30" s="135"/>
      <c r="CJ30" s="70" t="e">
        <f t="shared" si="14"/>
        <v>#DIV/0!</v>
      </c>
      <c r="CK30" s="71">
        <f t="shared" si="15"/>
        <v>0</v>
      </c>
      <c r="CL30" s="129" t="e">
        <f t="shared" si="16"/>
        <v>#DIV/0!</v>
      </c>
      <c r="CM30" s="70" t="e">
        <f t="shared" si="17"/>
        <v>#DIV/0!</v>
      </c>
    </row>
    <row r="31" spans="1:91" s="31" customFormat="1" ht="23.25" customHeight="1">
      <c r="A31" s="726"/>
      <c r="B31" s="74" t="s">
        <v>132</v>
      </c>
      <c r="C31" s="56" t="s">
        <v>129</v>
      </c>
      <c r="D31" s="133">
        <v>53969.17</v>
      </c>
      <c r="E31" s="57">
        <v>40900</v>
      </c>
      <c r="F31" s="57">
        <f t="shared" si="21"/>
        <v>15452.33</v>
      </c>
      <c r="G31" s="58">
        <f t="shared" si="28"/>
        <v>0.37780757946210303</v>
      </c>
      <c r="H31" s="57">
        <v>3400</v>
      </c>
      <c r="I31" s="57">
        <v>3400</v>
      </c>
      <c r="J31" s="57">
        <f>威高广场1月实际!I32</f>
        <v>13750.33</v>
      </c>
      <c r="K31" s="58">
        <f t="shared" si="22"/>
        <v>6.50551059753445E-4</v>
      </c>
      <c r="L31" s="57">
        <f t="shared" si="27"/>
        <v>10350.33</v>
      </c>
      <c r="M31" s="59">
        <f t="shared" si="29"/>
        <v>4.0442147058823501</v>
      </c>
      <c r="N31" s="59">
        <f t="shared" si="19"/>
        <v>4.0442147058823501</v>
      </c>
      <c r="O31" s="57">
        <f>威高广场2月实际!F31</f>
        <v>14100</v>
      </c>
      <c r="P31" s="57">
        <f>威高广场2月实际!G31</f>
        <v>14100</v>
      </c>
      <c r="Q31" s="57">
        <f>威高广场2月实际!I31</f>
        <v>1702</v>
      </c>
      <c r="R31" s="134"/>
      <c r="S31" s="57">
        <f t="shared" si="26"/>
        <v>-12398</v>
      </c>
      <c r="T31" s="58">
        <f t="shared" si="24"/>
        <v>0.120709219858156</v>
      </c>
      <c r="U31" s="58">
        <f t="shared" si="25"/>
        <v>0.120709219858156</v>
      </c>
      <c r="V31" s="57">
        <f>威高广场3月实际!F31</f>
        <v>9700</v>
      </c>
      <c r="W31" s="57">
        <f>威高广场3月实际!G31</f>
        <v>9700</v>
      </c>
      <c r="X31" s="135"/>
      <c r="Y31" s="136"/>
      <c r="Z31" s="135"/>
      <c r="AA31" s="136"/>
      <c r="AB31" s="136"/>
      <c r="AC31" s="135"/>
      <c r="AD31" s="135"/>
      <c r="AE31" s="135"/>
      <c r="AF31" s="136"/>
      <c r="AG31" s="135"/>
      <c r="AH31" s="136"/>
      <c r="AI31" s="136"/>
      <c r="AJ31" s="135"/>
      <c r="AK31" s="135"/>
      <c r="AL31" s="135"/>
      <c r="AM31" s="136"/>
      <c r="AN31" s="135"/>
      <c r="AO31" s="136"/>
      <c r="AP31" s="136"/>
      <c r="AQ31" s="135"/>
      <c r="AR31" s="135"/>
      <c r="AS31" s="135"/>
      <c r="AT31" s="136"/>
      <c r="AU31" s="135"/>
      <c r="AV31" s="136"/>
      <c r="AW31" s="136"/>
      <c r="AX31" s="135"/>
      <c r="AY31" s="135"/>
      <c r="AZ31" s="135"/>
      <c r="BA31" s="70"/>
      <c r="BB31" s="71"/>
      <c r="BC31" s="129"/>
      <c r="BD31" s="70"/>
      <c r="BE31" s="127"/>
      <c r="BF31" s="135"/>
      <c r="BG31" s="138"/>
      <c r="BH31" s="130"/>
      <c r="BI31" s="71"/>
      <c r="BJ31" s="129"/>
      <c r="BK31" s="70"/>
      <c r="BL31" s="137"/>
      <c r="BM31" s="137"/>
      <c r="BN31" s="138"/>
      <c r="BO31" s="130"/>
      <c r="BP31" s="71"/>
      <c r="BQ31" s="129"/>
      <c r="BR31" s="70"/>
      <c r="BS31" s="139"/>
      <c r="BT31" s="139"/>
      <c r="BU31" s="131"/>
      <c r="BV31" s="70"/>
      <c r="BW31" s="71"/>
      <c r="BX31" s="129"/>
      <c r="BY31" s="70"/>
      <c r="BZ31" s="127"/>
      <c r="CA31" s="127"/>
      <c r="CB31" s="135"/>
      <c r="CC31" s="70"/>
      <c r="CD31" s="71"/>
      <c r="CE31" s="129"/>
      <c r="CF31" s="70"/>
      <c r="CG31" s="135"/>
      <c r="CH31" s="135"/>
      <c r="CI31" s="135"/>
      <c r="CJ31" s="70" t="e">
        <f t="shared" si="14"/>
        <v>#DIV/0!</v>
      </c>
      <c r="CK31" s="71">
        <f t="shared" si="15"/>
        <v>0</v>
      </c>
      <c r="CL31" s="129" t="e">
        <f t="shared" si="16"/>
        <v>#DIV/0!</v>
      </c>
      <c r="CM31" s="70" t="e">
        <f t="shared" si="17"/>
        <v>#DIV/0!</v>
      </c>
    </row>
    <row r="32" spans="1:91" s="31" customFormat="1" ht="23.25" customHeight="1">
      <c r="A32" s="726"/>
      <c r="B32" s="74" t="s">
        <v>130</v>
      </c>
      <c r="C32" s="56" t="s">
        <v>131</v>
      </c>
      <c r="D32" s="133">
        <v>134458.32999999999</v>
      </c>
      <c r="E32" s="57">
        <v>138400</v>
      </c>
      <c r="F32" s="57">
        <f t="shared" si="21"/>
        <v>22489.08</v>
      </c>
      <c r="G32" s="58">
        <f t="shared" si="28"/>
        <v>0.16249335260115599</v>
      </c>
      <c r="H32" s="57">
        <v>33800</v>
      </c>
      <c r="I32" s="57">
        <v>33800</v>
      </c>
      <c r="J32" s="57">
        <f>威高广场1月实际!I31</f>
        <v>2425.02</v>
      </c>
      <c r="K32" s="58">
        <f t="shared" si="22"/>
        <v>1.1473174323258399E-4</v>
      </c>
      <c r="L32" s="57">
        <f t="shared" si="27"/>
        <v>-31374.98</v>
      </c>
      <c r="M32" s="59">
        <f t="shared" si="29"/>
        <v>7.1746153846153807E-2</v>
      </c>
      <c r="N32" s="59">
        <f t="shared" si="19"/>
        <v>7.1746153846153807E-2</v>
      </c>
      <c r="O32" s="57">
        <f>威高广场2月实际!F32</f>
        <v>3400</v>
      </c>
      <c r="P32" s="57">
        <f>威高广场2月实际!G32</f>
        <v>3400</v>
      </c>
      <c r="Q32" s="57">
        <f>威高广场2月实际!I32</f>
        <v>20064.060000000001</v>
      </c>
      <c r="R32" s="134"/>
      <c r="S32" s="57">
        <f t="shared" si="26"/>
        <v>16664.060000000001</v>
      </c>
      <c r="T32" s="58">
        <f t="shared" si="24"/>
        <v>5.9011941176470604</v>
      </c>
      <c r="U32" s="58">
        <f t="shared" si="25"/>
        <v>5.9011941176470604</v>
      </c>
      <c r="V32" s="57">
        <f>威高广场3月实际!F32</f>
        <v>60200</v>
      </c>
      <c r="W32" s="57">
        <f>威高广场3月实际!G32</f>
        <v>60200</v>
      </c>
      <c r="X32" s="135"/>
      <c r="Y32" s="136"/>
      <c r="Z32" s="135"/>
      <c r="AA32" s="136"/>
      <c r="AB32" s="136"/>
      <c r="AC32" s="135"/>
      <c r="AD32" s="135"/>
      <c r="AE32" s="135"/>
      <c r="AF32" s="136"/>
      <c r="AG32" s="135"/>
      <c r="AH32" s="136"/>
      <c r="AI32" s="136"/>
      <c r="AJ32" s="135"/>
      <c r="AK32" s="135"/>
      <c r="AL32" s="135"/>
      <c r="AM32" s="136"/>
      <c r="AN32" s="135"/>
      <c r="AO32" s="136"/>
      <c r="AP32" s="136"/>
      <c r="AQ32" s="135"/>
      <c r="AR32" s="135"/>
      <c r="AS32" s="135"/>
      <c r="AT32" s="136"/>
      <c r="AU32" s="135"/>
      <c r="AV32" s="136"/>
      <c r="AW32" s="136"/>
      <c r="AX32" s="135"/>
      <c r="AY32" s="135"/>
      <c r="AZ32" s="135"/>
      <c r="BA32" s="70"/>
      <c r="BB32" s="71"/>
      <c r="BC32" s="129"/>
      <c r="BD32" s="70"/>
      <c r="BE32" s="127"/>
      <c r="BF32" s="135"/>
      <c r="BG32" s="138"/>
      <c r="BH32" s="130"/>
      <c r="BI32" s="71"/>
      <c r="BJ32" s="129"/>
      <c r="BK32" s="70"/>
      <c r="BL32" s="148"/>
      <c r="BM32" s="148"/>
      <c r="BN32" s="149"/>
      <c r="BO32" s="130"/>
      <c r="BP32" s="71"/>
      <c r="BQ32" s="129"/>
      <c r="BR32" s="70"/>
      <c r="BS32" s="139"/>
      <c r="BT32" s="139"/>
      <c r="BU32" s="131"/>
      <c r="BV32" s="70"/>
      <c r="BW32" s="71"/>
      <c r="BX32" s="129"/>
      <c r="BY32" s="70"/>
      <c r="BZ32" s="127"/>
      <c r="CA32" s="127"/>
      <c r="CB32" s="135"/>
      <c r="CC32" s="70"/>
      <c r="CD32" s="71"/>
      <c r="CE32" s="129"/>
      <c r="CF32" s="70"/>
      <c r="CG32" s="135"/>
      <c r="CH32" s="135"/>
      <c r="CI32" s="135"/>
      <c r="CJ32" s="70" t="e">
        <f t="shared" si="14"/>
        <v>#DIV/0!</v>
      </c>
      <c r="CK32" s="71">
        <f t="shared" si="15"/>
        <v>0</v>
      </c>
      <c r="CL32" s="129" t="e">
        <f t="shared" si="16"/>
        <v>#DIV/0!</v>
      </c>
      <c r="CM32" s="70" t="e">
        <f t="shared" si="17"/>
        <v>#DIV/0!</v>
      </c>
    </row>
    <row r="33" spans="1:91" s="31" customFormat="1" ht="23.25" customHeight="1">
      <c r="A33" s="726"/>
      <c r="B33" s="74" t="s">
        <v>134</v>
      </c>
      <c r="C33" s="56" t="s">
        <v>133</v>
      </c>
      <c r="D33" s="133">
        <v>559700</v>
      </c>
      <c r="E33" s="57">
        <v>654000</v>
      </c>
      <c r="F33" s="57">
        <f t="shared" si="21"/>
        <v>16774</v>
      </c>
      <c r="G33" s="58">
        <f t="shared" si="28"/>
        <v>2.5648318042813499E-2</v>
      </c>
      <c r="H33" s="57">
        <v>105000</v>
      </c>
      <c r="I33" s="57">
        <v>105000</v>
      </c>
      <c r="J33" s="57">
        <f>威高广场1月实际!I33</f>
        <v>8387</v>
      </c>
      <c r="K33" s="58">
        <f t="shared" si="22"/>
        <v>3.96802966776226E-4</v>
      </c>
      <c r="L33" s="57">
        <f t="shared" si="27"/>
        <v>-96613</v>
      </c>
      <c r="M33" s="59">
        <f t="shared" si="29"/>
        <v>7.9876190476190476E-2</v>
      </c>
      <c r="N33" s="59">
        <f t="shared" si="19"/>
        <v>7.9876190476190476E-2</v>
      </c>
      <c r="O33" s="57">
        <f>威高广场2月实际!F33</f>
        <v>8387</v>
      </c>
      <c r="P33" s="57">
        <f>威高广场2月实际!G33</f>
        <v>8387</v>
      </c>
      <c r="Q33" s="57">
        <f>威高广场2月实际!I33</f>
        <v>8387</v>
      </c>
      <c r="R33" s="134"/>
      <c r="S33" s="57">
        <f t="shared" si="26"/>
        <v>0</v>
      </c>
      <c r="T33" s="58">
        <f t="shared" si="24"/>
        <v>1</v>
      </c>
      <c r="U33" s="58">
        <f t="shared" si="25"/>
        <v>1</v>
      </c>
      <c r="V33" s="57">
        <f>威高广场3月实际!F33</f>
        <v>8387</v>
      </c>
      <c r="W33" s="57">
        <f>威高广场3月实际!G33</f>
        <v>8387</v>
      </c>
      <c r="X33" s="135"/>
      <c r="Y33" s="136"/>
      <c r="Z33" s="135"/>
      <c r="AA33" s="136"/>
      <c r="AB33" s="136"/>
      <c r="AC33" s="135"/>
      <c r="AD33" s="135"/>
      <c r="AE33" s="135"/>
      <c r="AF33" s="136"/>
      <c r="AG33" s="135"/>
      <c r="AH33" s="136"/>
      <c r="AI33" s="136"/>
      <c r="AJ33" s="135"/>
      <c r="AK33" s="135"/>
      <c r="AL33" s="135"/>
      <c r="AM33" s="136"/>
      <c r="AN33" s="135"/>
      <c r="AO33" s="136"/>
      <c r="AP33" s="136"/>
      <c r="AQ33" s="135"/>
      <c r="AR33" s="135"/>
      <c r="AS33" s="135"/>
      <c r="AT33" s="136"/>
      <c r="AU33" s="135"/>
      <c r="AV33" s="136"/>
      <c r="AW33" s="136"/>
      <c r="AX33" s="135"/>
      <c r="AY33" s="135"/>
      <c r="AZ33" s="135"/>
      <c r="BA33" s="70"/>
      <c r="BB33" s="71"/>
      <c r="BC33" s="129"/>
      <c r="BD33" s="70"/>
      <c r="BE33" s="127"/>
      <c r="BF33" s="135"/>
      <c r="BG33" s="138"/>
      <c r="BH33" s="130"/>
      <c r="BI33" s="71"/>
      <c r="BJ33" s="129"/>
      <c r="BK33" s="70"/>
      <c r="BL33" s="148"/>
      <c r="BM33" s="135"/>
      <c r="BN33" s="149"/>
      <c r="BO33" s="130"/>
      <c r="BP33" s="71"/>
      <c r="BQ33" s="129"/>
      <c r="BR33" s="70"/>
      <c r="BS33" s="139"/>
      <c r="BT33" s="139"/>
      <c r="BU33" s="131"/>
      <c r="BV33" s="70"/>
      <c r="BW33" s="71"/>
      <c r="BX33" s="129"/>
      <c r="BY33" s="70"/>
      <c r="BZ33" s="127"/>
      <c r="CA33" s="127"/>
      <c r="CB33" s="135"/>
      <c r="CC33" s="70"/>
      <c r="CD33" s="71"/>
      <c r="CE33" s="129"/>
      <c r="CF33" s="70"/>
      <c r="CG33" s="135"/>
      <c r="CH33" s="135"/>
      <c r="CI33" s="135"/>
      <c r="CJ33" s="70" t="e">
        <f t="shared" si="14"/>
        <v>#DIV/0!</v>
      </c>
      <c r="CK33" s="71">
        <f t="shared" si="15"/>
        <v>0</v>
      </c>
      <c r="CL33" s="129" t="e">
        <f t="shared" si="16"/>
        <v>#DIV/0!</v>
      </c>
      <c r="CM33" s="70" t="e">
        <f t="shared" si="17"/>
        <v>#DIV/0!</v>
      </c>
    </row>
    <row r="34" spans="1:91" customFormat="1" ht="23.25" customHeight="1">
      <c r="A34" s="726"/>
      <c r="B34" s="150" t="s">
        <v>136</v>
      </c>
      <c r="C34" s="151" t="s">
        <v>135</v>
      </c>
      <c r="D34" s="152">
        <v>146968.32000000001</v>
      </c>
      <c r="E34" s="57">
        <v>447797</v>
      </c>
      <c r="F34" s="57">
        <f t="shared" si="21"/>
        <v>73679.8</v>
      </c>
      <c r="G34" s="58">
        <f t="shared" si="28"/>
        <v>0.16453839574628701</v>
      </c>
      <c r="H34" s="57">
        <v>52897</v>
      </c>
      <c r="I34" s="57">
        <v>48150</v>
      </c>
      <c r="J34" s="57">
        <f>威高广场1月实际!I34</f>
        <v>50890.9</v>
      </c>
      <c r="K34" s="58">
        <f t="shared" si="22"/>
        <v>2.4077334090750299E-3</v>
      </c>
      <c r="L34" s="57">
        <f t="shared" si="27"/>
        <v>2740.9</v>
      </c>
      <c r="M34" s="59">
        <f t="shared" si="29"/>
        <v>1.05692419522326</v>
      </c>
      <c r="N34" s="59">
        <f t="shared" si="19"/>
        <v>0.96207535398982902</v>
      </c>
      <c r="O34" s="57">
        <v>5700</v>
      </c>
      <c r="P34" s="57">
        <v>31078.9</v>
      </c>
      <c r="Q34" s="57">
        <f>威高广场2月实际!I34</f>
        <v>22788.9</v>
      </c>
      <c r="R34" s="153"/>
      <c r="S34" s="57">
        <f t="shared" si="26"/>
        <v>-8290</v>
      </c>
      <c r="T34" s="58">
        <f t="shared" si="24"/>
        <v>0.73325954264790605</v>
      </c>
      <c r="U34" s="58">
        <f t="shared" si="25"/>
        <v>3.99805263157895</v>
      </c>
      <c r="V34" s="57">
        <f>威高广场3月实际!F34</f>
        <v>50900</v>
      </c>
      <c r="W34" s="57">
        <f>威高广场3月实际!G34</f>
        <v>29000</v>
      </c>
      <c r="X34" s="154"/>
      <c r="Y34" s="155"/>
      <c r="Z34" s="154"/>
      <c r="AA34" s="155"/>
      <c r="AB34" s="155"/>
      <c r="AC34" s="154"/>
      <c r="AD34" s="154"/>
      <c r="AE34" s="154"/>
      <c r="AF34" s="155"/>
      <c r="AG34" s="154"/>
      <c r="AH34" s="155"/>
      <c r="AI34" s="155"/>
      <c r="AJ34" s="154"/>
      <c r="AK34" s="154"/>
      <c r="AL34" s="154"/>
      <c r="AM34" s="155"/>
      <c r="AN34" s="154"/>
      <c r="AO34" s="155"/>
      <c r="AP34" s="155"/>
      <c r="AQ34" s="154"/>
      <c r="AR34" s="154"/>
      <c r="AS34" s="154"/>
      <c r="AT34" s="155"/>
      <c r="AU34" s="154"/>
      <c r="AV34" s="155"/>
      <c r="AW34" s="155"/>
      <c r="AX34" s="154"/>
      <c r="AY34" s="154"/>
      <c r="AZ34" s="154"/>
      <c r="BA34" s="70"/>
      <c r="BB34" s="71"/>
      <c r="BC34" s="129"/>
      <c r="BD34" s="70"/>
      <c r="BE34" s="156"/>
      <c r="BF34" s="154"/>
      <c r="BG34" s="157"/>
      <c r="BH34" s="130"/>
      <c r="BI34" s="71"/>
      <c r="BJ34" s="129"/>
      <c r="BK34" s="70"/>
      <c r="BL34" s="158"/>
      <c r="BM34" s="158"/>
      <c r="BN34" s="159"/>
      <c r="BO34" s="130"/>
      <c r="BP34" s="71"/>
      <c r="BQ34" s="129"/>
      <c r="BR34" s="70"/>
      <c r="BS34" s="160"/>
      <c r="BT34" s="160"/>
      <c r="BU34" s="161"/>
      <c r="BV34" s="70"/>
      <c r="BW34" s="71"/>
      <c r="BX34" s="129"/>
      <c r="BY34" s="70"/>
      <c r="BZ34" s="127"/>
      <c r="CA34" s="127"/>
      <c r="CB34" s="154"/>
      <c r="CC34" s="70"/>
      <c r="CD34" s="71"/>
      <c r="CE34" s="129"/>
      <c r="CF34" s="70"/>
      <c r="CG34" s="154"/>
      <c r="CH34" s="154"/>
      <c r="CI34" s="154"/>
      <c r="CJ34" s="70" t="e">
        <f t="shared" si="14"/>
        <v>#DIV/0!</v>
      </c>
      <c r="CK34" s="71">
        <f t="shared" si="15"/>
        <v>0</v>
      </c>
      <c r="CL34" s="129" t="e">
        <f t="shared" si="16"/>
        <v>#DIV/0!</v>
      </c>
      <c r="CM34" s="70" t="e">
        <f t="shared" si="17"/>
        <v>#DIV/0!</v>
      </c>
    </row>
    <row r="35" spans="1:91" s="32" customFormat="1" ht="23.25" customHeight="1">
      <c r="A35" s="162" t="s">
        <v>30</v>
      </c>
      <c r="B35" s="163" t="s">
        <v>30</v>
      </c>
      <c r="C35" s="164" t="s">
        <v>246</v>
      </c>
      <c r="D35" s="165">
        <f>SUM(D17:D34)</f>
        <v>158466747.44</v>
      </c>
      <c r="E35" s="86">
        <f t="shared" ref="E35:J35" si="30">SUM(E17:E34)</f>
        <v>184902077.565</v>
      </c>
      <c r="F35" s="86">
        <f t="shared" si="30"/>
        <v>28500352.780000001</v>
      </c>
      <c r="G35" s="88">
        <f t="shared" si="28"/>
        <v>0.154137547589107</v>
      </c>
      <c r="H35" s="86">
        <f t="shared" si="30"/>
        <v>15114405.16</v>
      </c>
      <c r="I35" s="86">
        <f t="shared" si="30"/>
        <v>15104658.16</v>
      </c>
      <c r="J35" s="87">
        <f t="shared" si="30"/>
        <v>14276056.779999999</v>
      </c>
      <c r="K35" s="166"/>
      <c r="L35" s="87">
        <f t="shared" si="27"/>
        <v>-828601.38000000082</v>
      </c>
      <c r="M35" s="89">
        <f t="shared" si="29"/>
        <v>0.94514265922321272</v>
      </c>
      <c r="N35" s="89">
        <f t="shared" si="19"/>
        <v>0.944533154224377</v>
      </c>
      <c r="O35" s="87">
        <f>SUM(O17:O34)</f>
        <v>14857591.84</v>
      </c>
      <c r="P35" s="87">
        <f>SUM(P17:P34)</f>
        <v>14738619.74</v>
      </c>
      <c r="Q35" s="57">
        <f>SUM(Q17:Q34)</f>
        <v>14224296</v>
      </c>
      <c r="R35" s="167"/>
      <c r="S35" s="57">
        <f>SUM(S17:S34)</f>
        <v>-514323.74</v>
      </c>
      <c r="T35" s="58"/>
      <c r="U35" s="58"/>
      <c r="V35" s="57">
        <f>SUM(V17:V34)</f>
        <v>14783559.58</v>
      </c>
      <c r="W35" s="57">
        <f>SUM(W17:W34)</f>
        <v>14761659.58</v>
      </c>
      <c r="X35" s="168"/>
      <c r="Y35" s="129"/>
      <c r="Z35" s="168"/>
      <c r="AA35" s="129"/>
      <c r="AB35" s="129"/>
      <c r="AC35" s="168"/>
      <c r="AD35" s="168"/>
      <c r="AE35" s="168"/>
      <c r="AF35" s="129"/>
      <c r="AG35" s="168"/>
      <c r="AH35" s="129"/>
      <c r="AI35" s="129"/>
      <c r="AJ35" s="168"/>
      <c r="AK35" s="168"/>
      <c r="AL35" s="168"/>
      <c r="AM35" s="129"/>
      <c r="AN35" s="168"/>
      <c r="AO35" s="129"/>
      <c r="AP35" s="129"/>
      <c r="AQ35" s="168"/>
      <c r="AR35" s="168"/>
      <c r="AS35" s="168"/>
      <c r="AT35" s="129"/>
      <c r="AU35" s="168"/>
      <c r="AV35" s="129"/>
      <c r="AW35" s="129"/>
      <c r="AX35" s="169"/>
      <c r="AY35" s="169"/>
      <c r="AZ35" s="169"/>
      <c r="BA35" s="70"/>
      <c r="BB35" s="71"/>
      <c r="BC35" s="129"/>
      <c r="BD35" s="70"/>
      <c r="BE35" s="169"/>
      <c r="BF35" s="169"/>
      <c r="BG35" s="169"/>
      <c r="BH35" s="130"/>
      <c r="BI35" s="71"/>
      <c r="BJ35" s="129"/>
      <c r="BK35" s="70"/>
      <c r="BL35" s="169"/>
      <c r="BM35" s="169"/>
      <c r="BN35" s="169"/>
      <c r="BO35" s="130"/>
      <c r="BP35" s="71"/>
      <c r="BQ35" s="129"/>
      <c r="BR35" s="70"/>
      <c r="BS35" s="170"/>
      <c r="BT35" s="170"/>
      <c r="BU35" s="170"/>
      <c r="BV35" s="70"/>
      <c r="BW35" s="71"/>
      <c r="BX35" s="129"/>
      <c r="BY35" s="70"/>
      <c r="BZ35" s="169"/>
      <c r="CA35" s="169"/>
      <c r="CB35" s="169"/>
      <c r="CC35" s="70"/>
      <c r="CD35" s="71"/>
      <c r="CE35" s="129"/>
      <c r="CF35" s="70"/>
      <c r="CG35" s="169"/>
      <c r="CH35" s="169"/>
      <c r="CI35" s="169">
        <f>SUM(CI17:CI33)</f>
        <v>0</v>
      </c>
      <c r="CJ35" s="70" t="e">
        <f t="shared" si="14"/>
        <v>#DIV/0!</v>
      </c>
      <c r="CK35" s="71">
        <f t="shared" si="15"/>
        <v>0</v>
      </c>
      <c r="CL35" s="129" t="e">
        <f t="shared" si="16"/>
        <v>#DIV/0!</v>
      </c>
      <c r="CM35" s="70" t="e">
        <f t="shared" si="17"/>
        <v>#DIV/0!</v>
      </c>
    </row>
    <row r="36" spans="1:91" s="33" customFormat="1" ht="23.25" customHeight="1">
      <c r="A36" s="171" t="s">
        <v>247</v>
      </c>
      <c r="B36" s="172" t="s">
        <v>248</v>
      </c>
      <c r="C36" s="173" t="s">
        <v>249</v>
      </c>
      <c r="D36" s="174"/>
      <c r="E36" s="86">
        <f t="shared" ref="E36:J36" si="31">E16-E35</f>
        <v>214178229.63499999</v>
      </c>
      <c r="F36" s="86">
        <f t="shared" si="31"/>
        <v>13578052.41</v>
      </c>
      <c r="G36" s="88">
        <f t="shared" ref="G36:G46" si="32">F36/E36</f>
        <v>6.3396043720874706E-2</v>
      </c>
      <c r="H36" s="86">
        <f t="shared" si="31"/>
        <v>5018512.0098058246</v>
      </c>
      <c r="I36" s="86">
        <f t="shared" si="31"/>
        <v>5042859.0098058246</v>
      </c>
      <c r="J36" s="87">
        <f t="shared" si="31"/>
        <v>6860377.9299999997</v>
      </c>
      <c r="K36" s="87">
        <f>J36/$J$16</f>
        <v>0.32457592891738901</v>
      </c>
      <c r="L36" s="87">
        <f t="shared" ref="L36:L39" si="33">J36-I36</f>
        <v>1817518.9201941751</v>
      </c>
      <c r="M36" s="89">
        <f t="shared" si="29"/>
        <v>1.3604143833210516</v>
      </c>
      <c r="N36" s="89">
        <f t="shared" si="19"/>
        <v>1.3670143493918709</v>
      </c>
      <c r="O36" s="87">
        <f>O16-O35</f>
        <v>5621615.1566417404</v>
      </c>
      <c r="P36" s="87">
        <f>P16-P35</f>
        <v>6043441.25664174</v>
      </c>
      <c r="Q36" s="57">
        <f>Q16-Q35</f>
        <v>6717674.4800000004</v>
      </c>
      <c r="R36" s="175">
        <f>Q36/$J$16</f>
        <v>0.317824390545003</v>
      </c>
      <c r="S36" s="57">
        <f>Q36-P36</f>
        <v>674233.22335826</v>
      </c>
      <c r="T36" s="58">
        <f>Q36/P36</f>
        <v>1.11156445388085</v>
      </c>
      <c r="U36" s="58">
        <f>Q36/O36</f>
        <v>1.19497231539646</v>
      </c>
      <c r="V36" s="57">
        <f>V16-V35</f>
        <v>6612940.8078295598</v>
      </c>
      <c r="W36" s="176">
        <f>W16-W35</f>
        <v>6613997.8078295598</v>
      </c>
      <c r="X36" s="176" t="e">
        <f>X16-#REF!</f>
        <v>#REF!</v>
      </c>
      <c r="Y36" s="175" t="e">
        <f>X36/$J$16</f>
        <v>#REF!</v>
      </c>
      <c r="Z36" s="177" t="e">
        <f>X36-W36</f>
        <v>#REF!</v>
      </c>
      <c r="AA36" s="178" t="e">
        <f>X36/W36</f>
        <v>#REF!</v>
      </c>
      <c r="AB36" s="179" t="e">
        <f>X36/V36</f>
        <v>#REF!</v>
      </c>
      <c r="AC36" s="176" t="e">
        <f>AC16-#REF!</f>
        <v>#REF!</v>
      </c>
      <c r="AD36" s="176" t="e">
        <f>AD16-#REF!</f>
        <v>#REF!</v>
      </c>
      <c r="AE36" s="176" t="e">
        <f>AE16-#REF!</f>
        <v>#REF!</v>
      </c>
      <c r="AF36" s="175" t="e">
        <f>AE36/$J$16</f>
        <v>#REF!</v>
      </c>
      <c r="AG36" s="177" t="e">
        <f>AE36-AD36</f>
        <v>#REF!</v>
      </c>
      <c r="AH36" s="178" t="e">
        <f>AE36/AD36</f>
        <v>#REF!</v>
      </c>
      <c r="AI36" s="179" t="e">
        <f>AE36/AC36</f>
        <v>#REF!</v>
      </c>
      <c r="AJ36" s="176" t="e">
        <f>AJ16-#REF!</f>
        <v>#REF!</v>
      </c>
      <c r="AK36" s="176" t="e">
        <f>AK16-#REF!</f>
        <v>#REF!</v>
      </c>
      <c r="AL36" s="176" t="e">
        <f>AL16-#REF!</f>
        <v>#REF!</v>
      </c>
      <c r="AM36" s="175" t="e">
        <f>AL36/$J$16</f>
        <v>#REF!</v>
      </c>
      <c r="AN36" s="177" t="e">
        <f>AL36-AK36</f>
        <v>#REF!</v>
      </c>
      <c r="AO36" s="178" t="e">
        <f>AL36/AK36</f>
        <v>#REF!</v>
      </c>
      <c r="AP36" s="179" t="e">
        <f>AL36/AJ36</f>
        <v>#REF!</v>
      </c>
      <c r="AQ36" s="176" t="e">
        <f>AQ16-#REF!</f>
        <v>#REF!</v>
      </c>
      <c r="AR36" s="176" t="e">
        <f>AR16-#REF!</f>
        <v>#REF!</v>
      </c>
      <c r="AS36" s="176" t="e">
        <f>AS16-#REF!</f>
        <v>#REF!</v>
      </c>
      <c r="AT36" s="175" t="e">
        <f>AS36/$J$16</f>
        <v>#REF!</v>
      </c>
      <c r="AU36" s="177" t="e">
        <f>AS36-AR36</f>
        <v>#REF!</v>
      </c>
      <c r="AV36" s="178" t="e">
        <f>AS36/AR36</f>
        <v>#REF!</v>
      </c>
      <c r="AW36" s="179" t="e">
        <f>AS36/AQ36</f>
        <v>#REF!</v>
      </c>
      <c r="AX36" s="176">
        <f t="shared" ref="AX36:AZ36" si="34">AX16-AX35</f>
        <v>0</v>
      </c>
      <c r="AY36" s="176">
        <f t="shared" si="34"/>
        <v>0</v>
      </c>
      <c r="AZ36" s="176">
        <f t="shared" si="34"/>
        <v>0</v>
      </c>
      <c r="BA36" s="180" t="s">
        <v>53</v>
      </c>
      <c r="BB36" s="97">
        <f>AZ36-AY36</f>
        <v>0</v>
      </c>
      <c r="BC36" s="178" t="e">
        <f>AZ36/AY36</f>
        <v>#DIV/0!</v>
      </c>
      <c r="BD36" s="96" t="e">
        <f>AZ36/AX36</f>
        <v>#DIV/0!</v>
      </c>
      <c r="BE36" s="176">
        <f t="shared" ref="BE36:BG36" si="35">BE16-BE35</f>
        <v>0</v>
      </c>
      <c r="BF36" s="176">
        <f t="shared" si="35"/>
        <v>0</v>
      </c>
      <c r="BG36" s="176">
        <f t="shared" si="35"/>
        <v>0</v>
      </c>
      <c r="BH36" s="180" t="s">
        <v>53</v>
      </c>
      <c r="BI36" s="97">
        <f>BG36-BF36</f>
        <v>0</v>
      </c>
      <c r="BJ36" s="178" t="e">
        <f>BG36/BF36</f>
        <v>#DIV/0!</v>
      </c>
      <c r="BK36" s="96" t="e">
        <f>BG36/BE36</f>
        <v>#DIV/0!</v>
      </c>
      <c r="BL36" s="176">
        <f t="shared" ref="BL36:BN36" si="36">BL16-BL35</f>
        <v>0</v>
      </c>
      <c r="BM36" s="176">
        <f t="shared" si="36"/>
        <v>0</v>
      </c>
      <c r="BN36" s="176">
        <f t="shared" si="36"/>
        <v>0</v>
      </c>
      <c r="BO36" s="180" t="s">
        <v>53</v>
      </c>
      <c r="BP36" s="97">
        <f>BN36-BM36</f>
        <v>0</v>
      </c>
      <c r="BQ36" s="178" t="e">
        <f>BN36/BM36</f>
        <v>#DIV/0!</v>
      </c>
      <c r="BR36" s="96" t="e">
        <f>BN36/BL36</f>
        <v>#DIV/0!</v>
      </c>
      <c r="BS36" s="181">
        <f t="shared" ref="BS36:BU36" si="37">BS16-BS35</f>
        <v>0</v>
      </c>
      <c r="BT36" s="181">
        <f t="shared" si="37"/>
        <v>0</v>
      </c>
      <c r="BU36" s="181">
        <f t="shared" si="37"/>
        <v>0</v>
      </c>
      <c r="BV36" s="180" t="s">
        <v>53</v>
      </c>
      <c r="BW36" s="97">
        <f>BU36-BT36</f>
        <v>0</v>
      </c>
      <c r="BX36" s="178" t="e">
        <f>BU36/BT36</f>
        <v>#DIV/0!</v>
      </c>
      <c r="BY36" s="96" t="e">
        <f>BU36/BS36</f>
        <v>#DIV/0!</v>
      </c>
      <c r="BZ36" s="176">
        <f t="shared" ref="BZ36:CB36" si="38">BZ16-BZ35</f>
        <v>0</v>
      </c>
      <c r="CA36" s="176">
        <f t="shared" si="38"/>
        <v>0</v>
      </c>
      <c r="CB36" s="176">
        <f t="shared" si="38"/>
        <v>0</v>
      </c>
      <c r="CC36" s="180" t="s">
        <v>53</v>
      </c>
      <c r="CD36" s="97">
        <f>CB36-CA36</f>
        <v>0</v>
      </c>
      <c r="CE36" s="178" t="e">
        <f>CB36/CA36</f>
        <v>#DIV/0!</v>
      </c>
      <c r="CF36" s="96" t="e">
        <f>CB36/BZ36</f>
        <v>#DIV/0!</v>
      </c>
      <c r="CG36" s="176">
        <f t="shared" ref="CG36:CI36" si="39">CG16-CG35</f>
        <v>0</v>
      </c>
      <c r="CH36" s="176">
        <f t="shared" si="39"/>
        <v>0</v>
      </c>
      <c r="CI36" s="176">
        <f t="shared" si="39"/>
        <v>0</v>
      </c>
      <c r="CJ36" s="182" t="s">
        <v>53</v>
      </c>
      <c r="CK36" s="71">
        <f t="shared" si="15"/>
        <v>0</v>
      </c>
      <c r="CL36" s="183" t="e">
        <f t="shared" si="16"/>
        <v>#DIV/0!</v>
      </c>
      <c r="CM36" s="70" t="e">
        <f t="shared" si="17"/>
        <v>#DIV/0!</v>
      </c>
    </row>
    <row r="37" spans="1:91" s="30" customFormat="1" ht="23.25" customHeight="1">
      <c r="A37" s="737" t="s">
        <v>250</v>
      </c>
      <c r="B37" s="184" t="s">
        <v>142</v>
      </c>
      <c r="C37" s="185" t="s">
        <v>143</v>
      </c>
      <c r="D37" s="186"/>
      <c r="E37" s="57">
        <v>258</v>
      </c>
      <c r="F37" s="57"/>
      <c r="G37" s="58">
        <f t="shared" si="32"/>
        <v>0</v>
      </c>
      <c r="H37" s="57">
        <v>258</v>
      </c>
      <c r="I37" s="57">
        <v>258</v>
      </c>
      <c r="J37" s="57">
        <f>威高广场1月实际!I37</f>
        <v>258</v>
      </c>
      <c r="K37" s="182" t="s">
        <v>53</v>
      </c>
      <c r="L37" s="57">
        <f t="shared" si="33"/>
        <v>0</v>
      </c>
      <c r="M37" s="187"/>
      <c r="N37" s="126"/>
      <c r="O37" s="188"/>
      <c r="P37" s="188"/>
      <c r="Q37" s="86">
        <f>'2月时间实际 '!B18</f>
        <v>260</v>
      </c>
      <c r="R37" s="86"/>
      <c r="S37" s="86"/>
      <c r="T37" s="86"/>
      <c r="U37" s="86"/>
      <c r="V37" s="86">
        <f>'3月时间实际'!B18</f>
        <v>259</v>
      </c>
      <c r="W37" s="188"/>
      <c r="X37" s="188"/>
      <c r="Y37" s="182"/>
      <c r="Z37" s="127"/>
      <c r="AA37" s="187"/>
      <c r="AB37" s="128"/>
      <c r="AC37" s="188"/>
      <c r="AD37" s="188"/>
      <c r="AE37" s="188"/>
      <c r="AF37" s="182"/>
      <c r="AG37" s="127"/>
      <c r="AH37" s="187"/>
      <c r="AI37" s="128"/>
      <c r="AJ37" s="188"/>
      <c r="AK37" s="188"/>
      <c r="AL37" s="188"/>
      <c r="AM37" s="182"/>
      <c r="AN37" s="127"/>
      <c r="AO37" s="187"/>
      <c r="AP37" s="128"/>
      <c r="AQ37" s="188"/>
      <c r="AR37" s="188"/>
      <c r="AS37" s="188"/>
      <c r="AT37" s="130"/>
      <c r="AU37" s="127"/>
      <c r="AV37" s="187"/>
      <c r="AW37" s="128"/>
      <c r="AX37" s="188"/>
      <c r="AY37" s="188"/>
      <c r="AZ37" s="188"/>
      <c r="BA37" s="182"/>
      <c r="BB37" s="71"/>
      <c r="BC37" s="187"/>
      <c r="BD37" s="70"/>
      <c r="BE37" s="188"/>
      <c r="BF37" s="188"/>
      <c r="BG37" s="188"/>
      <c r="BH37" s="182"/>
      <c r="BI37" s="71"/>
      <c r="BJ37" s="187"/>
      <c r="BK37" s="70"/>
      <c r="BL37" s="137"/>
      <c r="BM37" s="188"/>
      <c r="BN37" s="188"/>
      <c r="BO37" s="182"/>
      <c r="BP37" s="71"/>
      <c r="BQ37" s="187"/>
      <c r="BR37" s="70"/>
      <c r="BS37" s="139"/>
      <c r="BT37" s="189"/>
      <c r="BU37" s="189"/>
      <c r="BV37" s="182"/>
      <c r="BW37" s="71"/>
      <c r="BX37" s="187"/>
      <c r="BY37" s="70"/>
      <c r="BZ37" s="188"/>
      <c r="CA37" s="188"/>
      <c r="CB37" s="188"/>
      <c r="CC37" s="182"/>
      <c r="CD37" s="71"/>
      <c r="CE37" s="187"/>
      <c r="CF37" s="70"/>
      <c r="CG37" s="188"/>
      <c r="CH37" s="188"/>
      <c r="CI37" s="188"/>
      <c r="CJ37" s="182" t="s">
        <v>53</v>
      </c>
      <c r="CK37" s="71">
        <f t="shared" si="15"/>
        <v>0</v>
      </c>
      <c r="CL37" s="187" t="e">
        <f t="shared" si="16"/>
        <v>#DIV/0!</v>
      </c>
      <c r="CM37" s="70" t="e">
        <f t="shared" si="17"/>
        <v>#DIV/0!</v>
      </c>
    </row>
    <row r="38" spans="1:91" s="31" customFormat="1" ht="23.25" customHeight="1">
      <c r="A38" s="738"/>
      <c r="B38" s="190" t="s">
        <v>144</v>
      </c>
      <c r="C38" s="191" t="s">
        <v>145</v>
      </c>
      <c r="D38" s="191"/>
      <c r="E38" s="57">
        <v>0</v>
      </c>
      <c r="F38" s="57"/>
      <c r="G38" s="58" t="e">
        <f t="shared" si="32"/>
        <v>#DIV/0!</v>
      </c>
      <c r="H38" s="57">
        <v>0</v>
      </c>
      <c r="I38" s="57">
        <v>0</v>
      </c>
      <c r="J38" s="57">
        <v>0</v>
      </c>
      <c r="K38" s="192" t="s">
        <v>53</v>
      </c>
      <c r="L38" s="57">
        <f t="shared" si="33"/>
        <v>0</v>
      </c>
      <c r="M38" s="193"/>
      <c r="N38" s="134"/>
      <c r="O38" s="194">
        <v>0</v>
      </c>
      <c r="P38" s="194"/>
      <c r="Q38" s="86">
        <v>0</v>
      </c>
      <c r="R38" s="86"/>
      <c r="S38" s="86"/>
      <c r="T38" s="86"/>
      <c r="U38" s="86"/>
      <c r="V38" s="86">
        <v>0</v>
      </c>
      <c r="W38" s="194"/>
      <c r="X38" s="194"/>
      <c r="Y38" s="192"/>
      <c r="Z38" s="135"/>
      <c r="AA38" s="193"/>
      <c r="AB38" s="136"/>
      <c r="AC38" s="194"/>
      <c r="AD38" s="194"/>
      <c r="AE38" s="194"/>
      <c r="AF38" s="192"/>
      <c r="AG38" s="135"/>
      <c r="AH38" s="193"/>
      <c r="AI38" s="136"/>
      <c r="AJ38" s="194"/>
      <c r="AK38" s="194"/>
      <c r="AL38" s="194"/>
      <c r="AM38" s="192"/>
      <c r="AN38" s="135"/>
      <c r="AO38" s="193"/>
      <c r="AP38" s="136"/>
      <c r="AQ38" s="194"/>
      <c r="AR38" s="194"/>
      <c r="AS38" s="194"/>
      <c r="AT38" s="195"/>
      <c r="AU38" s="135"/>
      <c r="AV38" s="193"/>
      <c r="AW38" s="136"/>
      <c r="AX38" s="194"/>
      <c r="AY38" s="194"/>
      <c r="AZ38" s="194"/>
      <c r="BA38" s="192"/>
      <c r="BB38" s="71"/>
      <c r="BC38" s="193"/>
      <c r="BD38" s="70"/>
      <c r="BE38" s="194"/>
      <c r="BF38" s="194"/>
      <c r="BG38" s="194"/>
      <c r="BH38" s="192"/>
      <c r="BI38" s="71"/>
      <c r="BJ38" s="193"/>
      <c r="BK38" s="70"/>
      <c r="BL38" s="194"/>
      <c r="BM38" s="194"/>
      <c r="BN38" s="194"/>
      <c r="BO38" s="192"/>
      <c r="BP38" s="71"/>
      <c r="BQ38" s="193"/>
      <c r="BR38" s="70"/>
      <c r="BS38" s="196"/>
      <c r="BT38" s="196"/>
      <c r="BU38" s="196"/>
      <c r="BV38" s="192"/>
      <c r="BW38" s="71"/>
      <c r="BX38" s="193"/>
      <c r="BY38" s="70"/>
      <c r="BZ38" s="194"/>
      <c r="CA38" s="194"/>
      <c r="CB38" s="194"/>
      <c r="CC38" s="192"/>
      <c r="CD38" s="71"/>
      <c r="CE38" s="193"/>
      <c r="CF38" s="70"/>
      <c r="CG38" s="194"/>
      <c r="CH38" s="194"/>
      <c r="CI38" s="194">
        <v>0</v>
      </c>
      <c r="CJ38" s="192" t="s">
        <v>53</v>
      </c>
      <c r="CK38" s="71">
        <f t="shared" si="15"/>
        <v>0</v>
      </c>
      <c r="CL38" s="193" t="e">
        <f t="shared" si="16"/>
        <v>#DIV/0!</v>
      </c>
      <c r="CM38" s="70" t="e">
        <f t="shared" si="17"/>
        <v>#DIV/0!</v>
      </c>
    </row>
    <row r="39" spans="1:91" s="31" customFormat="1" ht="23.25" customHeight="1">
      <c r="A39" s="738"/>
      <c r="B39" s="190" t="s">
        <v>146</v>
      </c>
      <c r="C39" s="191" t="s">
        <v>147</v>
      </c>
      <c r="D39" s="191"/>
      <c r="E39" s="57">
        <f t="shared" ref="E39:J39" si="40">SUM(E37:E38)</f>
        <v>258</v>
      </c>
      <c r="F39" s="57"/>
      <c r="G39" s="58">
        <f t="shared" si="32"/>
        <v>0</v>
      </c>
      <c r="H39" s="57">
        <f t="shared" si="40"/>
        <v>258</v>
      </c>
      <c r="I39" s="57">
        <f t="shared" si="40"/>
        <v>258</v>
      </c>
      <c r="J39" s="57">
        <f t="shared" si="40"/>
        <v>258</v>
      </c>
      <c r="K39" s="192" t="s">
        <v>53</v>
      </c>
      <c r="L39" s="57">
        <f t="shared" si="33"/>
        <v>0</v>
      </c>
      <c r="M39" s="193"/>
      <c r="N39" s="134"/>
      <c r="O39" s="194"/>
      <c r="P39" s="194"/>
      <c r="Q39" s="86">
        <f>SUM(Q37:Q38)</f>
        <v>260</v>
      </c>
      <c r="R39" s="86"/>
      <c r="S39" s="86"/>
      <c r="T39" s="86"/>
      <c r="U39" s="86"/>
      <c r="V39" s="86">
        <f>SUM(V37:V38)</f>
        <v>259</v>
      </c>
      <c r="W39" s="194"/>
      <c r="X39" s="194"/>
      <c r="Y39" s="192"/>
      <c r="Z39" s="135"/>
      <c r="AA39" s="193"/>
      <c r="AB39" s="136"/>
      <c r="AC39" s="194"/>
      <c r="AD39" s="194"/>
      <c r="AE39" s="194"/>
      <c r="AF39" s="192"/>
      <c r="AG39" s="135"/>
      <c r="AH39" s="193"/>
      <c r="AI39" s="136"/>
      <c r="AJ39" s="194"/>
      <c r="AK39" s="194"/>
      <c r="AL39" s="194"/>
      <c r="AM39" s="192"/>
      <c r="AN39" s="135"/>
      <c r="AO39" s="193"/>
      <c r="AP39" s="136"/>
      <c r="AQ39" s="194"/>
      <c r="AR39" s="194"/>
      <c r="AS39" s="194"/>
      <c r="AT39" s="195"/>
      <c r="AU39" s="135"/>
      <c r="AV39" s="193"/>
      <c r="AW39" s="136"/>
      <c r="AX39" s="194"/>
      <c r="AY39" s="194"/>
      <c r="AZ39" s="194"/>
      <c r="BA39" s="192"/>
      <c r="BB39" s="71"/>
      <c r="BC39" s="193"/>
      <c r="BD39" s="70"/>
      <c r="BE39" s="194"/>
      <c r="BF39" s="194"/>
      <c r="BG39" s="194"/>
      <c r="BH39" s="192"/>
      <c r="BI39" s="71"/>
      <c r="BJ39" s="193"/>
      <c r="BK39" s="70"/>
      <c r="BL39" s="194"/>
      <c r="BM39" s="194"/>
      <c r="BN39" s="194"/>
      <c r="BO39" s="192"/>
      <c r="BP39" s="71"/>
      <c r="BQ39" s="193"/>
      <c r="BR39" s="70"/>
      <c r="BS39" s="196"/>
      <c r="BT39" s="196"/>
      <c r="BU39" s="196"/>
      <c r="BV39" s="192"/>
      <c r="BW39" s="71"/>
      <c r="BX39" s="193"/>
      <c r="BY39" s="70"/>
      <c r="BZ39" s="194"/>
      <c r="CA39" s="194"/>
      <c r="CB39" s="194"/>
      <c r="CC39" s="192"/>
      <c r="CD39" s="71"/>
      <c r="CE39" s="193"/>
      <c r="CF39" s="70"/>
      <c r="CG39" s="194"/>
      <c r="CH39" s="194"/>
      <c r="CI39" s="194">
        <f>SUM(CI37:CI38)</f>
        <v>0</v>
      </c>
      <c r="CJ39" s="192" t="s">
        <v>53</v>
      </c>
      <c r="CK39" s="71">
        <f t="shared" si="15"/>
        <v>0</v>
      </c>
      <c r="CL39" s="193" t="e">
        <f t="shared" si="16"/>
        <v>#DIV/0!</v>
      </c>
      <c r="CM39" s="70" t="e">
        <f t="shared" si="17"/>
        <v>#DIV/0!</v>
      </c>
    </row>
    <row r="40" spans="1:91" s="31" customFormat="1" ht="23.25" customHeight="1">
      <c r="A40" s="738"/>
      <c r="B40" s="190" t="s">
        <v>149</v>
      </c>
      <c r="C40" s="191" t="s">
        <v>150</v>
      </c>
      <c r="D40" s="197">
        <v>543554.9</v>
      </c>
      <c r="E40" s="57">
        <v>543554.9</v>
      </c>
      <c r="F40" s="57">
        <f>J40+Q40+X40+AE40+AL40+AS40+AZ40+BG40+BN40+BU40+CB40+CI40</f>
        <v>87791</v>
      </c>
      <c r="G40" s="58">
        <f t="shared" si="32"/>
        <v>0.16151266413015503</v>
      </c>
      <c r="H40" s="57">
        <v>47459</v>
      </c>
      <c r="I40" s="57">
        <v>47459</v>
      </c>
      <c r="J40" s="57">
        <f>威高广场1月实际!I40</f>
        <v>47174.5</v>
      </c>
      <c r="K40" s="192"/>
      <c r="L40" s="198"/>
      <c r="M40" s="193"/>
      <c r="N40" s="134"/>
      <c r="O40" s="87">
        <f>威高广场2月实际!F40</f>
        <v>40107</v>
      </c>
      <c r="P40" s="87">
        <f>威高广场2月实际!G40</f>
        <v>40107</v>
      </c>
      <c r="Q40" s="86">
        <f>'2月时间实际 '!E18</f>
        <v>40616.5</v>
      </c>
      <c r="R40" s="86"/>
      <c r="S40" s="86"/>
      <c r="T40" s="86"/>
      <c r="U40" s="86"/>
      <c r="V40" s="86">
        <f>'3月时间实际'!C18</f>
        <v>48990</v>
      </c>
      <c r="W40" s="194"/>
      <c r="X40" s="194"/>
      <c r="Y40" s="192"/>
      <c r="Z40" s="135"/>
      <c r="AA40" s="193"/>
      <c r="AB40" s="136"/>
      <c r="AC40" s="194"/>
      <c r="AD40" s="194"/>
      <c r="AE40" s="194"/>
      <c r="AF40" s="192"/>
      <c r="AG40" s="135"/>
      <c r="AH40" s="193"/>
      <c r="AI40" s="136"/>
      <c r="AJ40" s="194"/>
      <c r="AK40" s="194"/>
      <c r="AL40" s="194"/>
      <c r="AM40" s="192"/>
      <c r="AN40" s="135"/>
      <c r="AO40" s="193"/>
      <c r="AP40" s="136"/>
      <c r="AQ40" s="194"/>
      <c r="AR40" s="194"/>
      <c r="AS40" s="194"/>
      <c r="AT40" s="195"/>
      <c r="AU40" s="135"/>
      <c r="AV40" s="193"/>
      <c r="AW40" s="136"/>
      <c r="AX40" s="194"/>
      <c r="AY40" s="194"/>
      <c r="AZ40" s="194"/>
      <c r="BA40" s="192"/>
      <c r="BB40" s="71"/>
      <c r="BC40" s="193"/>
      <c r="BD40" s="70"/>
      <c r="BE40" s="194"/>
      <c r="BF40" s="194"/>
      <c r="BG40" s="137"/>
      <c r="BH40" s="192"/>
      <c r="BI40" s="71"/>
      <c r="BJ40" s="193"/>
      <c r="BK40" s="70"/>
      <c r="BL40" s="194"/>
      <c r="BM40" s="194"/>
      <c r="BN40" s="194"/>
      <c r="BO40" s="192"/>
      <c r="BP40" s="71"/>
      <c r="BQ40" s="193"/>
      <c r="BR40" s="70"/>
      <c r="BS40" s="196"/>
      <c r="BT40" s="196"/>
      <c r="BU40" s="196"/>
      <c r="BV40" s="192"/>
      <c r="BW40" s="71"/>
      <c r="BX40" s="193"/>
      <c r="BY40" s="70"/>
      <c r="BZ40" s="194"/>
      <c r="CA40" s="194"/>
      <c r="CB40" s="194"/>
      <c r="CC40" s="192"/>
      <c r="CD40" s="71"/>
      <c r="CE40" s="193"/>
      <c r="CF40" s="70"/>
      <c r="CG40" s="194"/>
      <c r="CH40" s="194"/>
      <c r="CI40" s="194"/>
      <c r="CJ40" s="192" t="s">
        <v>53</v>
      </c>
      <c r="CK40" s="71">
        <f t="shared" si="15"/>
        <v>0</v>
      </c>
      <c r="CL40" s="193" t="e">
        <f t="shared" si="16"/>
        <v>#DIV/0!</v>
      </c>
      <c r="CM40" s="70" t="e">
        <f t="shared" si="17"/>
        <v>#DIV/0!</v>
      </c>
    </row>
    <row r="41" spans="1:91" s="31" customFormat="1" ht="23.25" customHeight="1">
      <c r="A41" s="738"/>
      <c r="B41" s="190" t="s">
        <v>40</v>
      </c>
      <c r="C41" s="191" t="s">
        <v>151</v>
      </c>
      <c r="D41" s="197">
        <v>52484</v>
      </c>
      <c r="E41" s="57">
        <v>52484</v>
      </c>
      <c r="F41" s="57">
        <f>J41+Q41+X41+AE41+AL41+AS41+AZ41+BG41+BN41+BU41+CB41+CI41</f>
        <v>8440.5</v>
      </c>
      <c r="G41" s="58">
        <f t="shared" si="32"/>
        <v>0.16082044051520464</v>
      </c>
      <c r="H41" s="57">
        <v>4763</v>
      </c>
      <c r="I41" s="57">
        <v>4763</v>
      </c>
      <c r="J41" s="57">
        <f>威高广场1月实际!I41</f>
        <v>4290.5</v>
      </c>
      <c r="K41" s="192"/>
      <c r="L41" s="198"/>
      <c r="M41" s="193"/>
      <c r="N41" s="134"/>
      <c r="O41" s="87">
        <f>威高广场2月实际!F41</f>
        <v>4373</v>
      </c>
      <c r="P41" s="87">
        <f>威高广场2月实际!G41</f>
        <v>4373</v>
      </c>
      <c r="Q41" s="86">
        <f>'2月时间实际 '!F18</f>
        <v>4150</v>
      </c>
      <c r="R41" s="86"/>
      <c r="S41" s="86"/>
      <c r="T41" s="86"/>
      <c r="U41" s="86"/>
      <c r="V41" s="86">
        <f>'3月时间实际'!D18</f>
        <v>4910</v>
      </c>
      <c r="W41" s="194"/>
      <c r="X41" s="194"/>
      <c r="Y41" s="192"/>
      <c r="Z41" s="135"/>
      <c r="AA41" s="193"/>
      <c r="AB41" s="136"/>
      <c r="AC41" s="194"/>
      <c r="AD41" s="194"/>
      <c r="AE41" s="194"/>
      <c r="AF41" s="192"/>
      <c r="AG41" s="135"/>
      <c r="AH41" s="193"/>
      <c r="AI41" s="136"/>
      <c r="AJ41" s="194"/>
      <c r="AK41" s="194"/>
      <c r="AL41" s="194"/>
      <c r="AM41" s="192"/>
      <c r="AN41" s="135"/>
      <c r="AO41" s="193"/>
      <c r="AP41" s="136"/>
      <c r="AQ41" s="194"/>
      <c r="AR41" s="194"/>
      <c r="AS41" s="194"/>
      <c r="AT41" s="195"/>
      <c r="AU41" s="135"/>
      <c r="AV41" s="193"/>
      <c r="AW41" s="136"/>
      <c r="AX41" s="194"/>
      <c r="AY41" s="194"/>
      <c r="AZ41" s="194"/>
      <c r="BA41" s="192"/>
      <c r="BB41" s="71"/>
      <c r="BC41" s="193"/>
      <c r="BD41" s="70"/>
      <c r="BE41" s="194"/>
      <c r="BF41" s="194"/>
      <c r="BG41" s="149"/>
      <c r="BH41" s="192"/>
      <c r="BI41" s="71"/>
      <c r="BJ41" s="193"/>
      <c r="BK41" s="70"/>
      <c r="BL41" s="194"/>
      <c r="BM41" s="194"/>
      <c r="BN41" s="194"/>
      <c r="BO41" s="192"/>
      <c r="BP41" s="71"/>
      <c r="BQ41" s="193"/>
      <c r="BR41" s="70"/>
      <c r="BS41" s="196"/>
      <c r="BT41" s="196"/>
      <c r="BU41" s="196"/>
      <c r="BV41" s="192"/>
      <c r="BW41" s="71"/>
      <c r="BX41" s="193"/>
      <c r="BY41" s="70"/>
      <c r="BZ41" s="194"/>
      <c r="CA41" s="194"/>
      <c r="CB41" s="194"/>
      <c r="CC41" s="192"/>
      <c r="CD41" s="71"/>
      <c r="CE41" s="193"/>
      <c r="CF41" s="70"/>
      <c r="CG41" s="194"/>
      <c r="CH41" s="194"/>
      <c r="CI41" s="194"/>
      <c r="CJ41" s="192" t="s">
        <v>53</v>
      </c>
      <c r="CK41" s="71">
        <f t="shared" si="15"/>
        <v>0</v>
      </c>
      <c r="CL41" s="193" t="e">
        <f t="shared" si="16"/>
        <v>#DIV/0!</v>
      </c>
      <c r="CM41" s="70" t="e">
        <f t="shared" si="17"/>
        <v>#DIV/0!</v>
      </c>
    </row>
    <row r="42" spans="1:91" s="32" customFormat="1" ht="23.25" customHeight="1">
      <c r="A42" s="739"/>
      <c r="B42" s="199" t="s">
        <v>152</v>
      </c>
      <c r="C42" s="200" t="s">
        <v>251</v>
      </c>
      <c r="D42" s="201">
        <f>SUM(D40:D41)</f>
        <v>596038.9</v>
      </c>
      <c r="E42" s="57">
        <f t="shared" ref="E42:J42" si="41">SUM(E40:E41)</f>
        <v>596038.9</v>
      </c>
      <c r="F42" s="57">
        <f>J42+Q42+X42+AE42+AL42+AS42+AZ42+BG42+BN42+BU42+CB42+CI42</f>
        <v>96231.5</v>
      </c>
      <c r="G42" s="58">
        <f t="shared" si="32"/>
        <v>0.16145171061821637</v>
      </c>
      <c r="H42" s="57">
        <f t="shared" si="41"/>
        <v>52222</v>
      </c>
      <c r="I42" s="57">
        <f t="shared" si="41"/>
        <v>52222</v>
      </c>
      <c r="J42" s="57">
        <f t="shared" si="41"/>
        <v>51465</v>
      </c>
      <c r="K42" s="202"/>
      <c r="L42" s="203"/>
      <c r="M42" s="204"/>
      <c r="N42" s="205"/>
      <c r="O42" s="87">
        <f>威高广场2月实际!F42</f>
        <v>44480</v>
      </c>
      <c r="P42" s="87">
        <f>威高广场2月实际!G42</f>
        <v>44480</v>
      </c>
      <c r="Q42" s="86">
        <f>SUM(Q40:Q41)</f>
        <v>44766.5</v>
      </c>
      <c r="R42" s="86"/>
      <c r="S42" s="86"/>
      <c r="T42" s="86"/>
      <c r="U42" s="86"/>
      <c r="V42" s="86">
        <f>SUM(V40:V41)</f>
        <v>53900</v>
      </c>
      <c r="W42" s="206"/>
      <c r="X42" s="206"/>
      <c r="Y42" s="202"/>
      <c r="Z42" s="168"/>
      <c r="AA42" s="204"/>
      <c r="AB42" s="129"/>
      <c r="AC42" s="206"/>
      <c r="AD42" s="206"/>
      <c r="AE42" s="206"/>
      <c r="AF42" s="202"/>
      <c r="AG42" s="168"/>
      <c r="AH42" s="204"/>
      <c r="AI42" s="129"/>
      <c r="AJ42" s="206"/>
      <c r="AK42" s="206"/>
      <c r="AL42" s="206"/>
      <c r="AM42" s="202"/>
      <c r="AN42" s="168"/>
      <c r="AO42" s="204"/>
      <c r="AP42" s="129"/>
      <c r="AQ42" s="206"/>
      <c r="AR42" s="206"/>
      <c r="AS42" s="206"/>
      <c r="AT42" s="207"/>
      <c r="AU42" s="168"/>
      <c r="AV42" s="204"/>
      <c r="AW42" s="129"/>
      <c r="AX42" s="206"/>
      <c r="AY42" s="206"/>
      <c r="AZ42" s="206"/>
      <c r="BA42" s="192"/>
      <c r="BB42" s="71"/>
      <c r="BC42" s="193"/>
      <c r="BD42" s="70"/>
      <c r="BE42" s="206"/>
      <c r="BF42" s="206"/>
      <c r="BG42" s="149"/>
      <c r="BH42" s="192"/>
      <c r="BI42" s="71"/>
      <c r="BJ42" s="193"/>
      <c r="BK42" s="70"/>
      <c r="BL42" s="206"/>
      <c r="BM42" s="206"/>
      <c r="BN42" s="206"/>
      <c r="BO42" s="192"/>
      <c r="BP42" s="71"/>
      <c r="BQ42" s="193"/>
      <c r="BR42" s="70"/>
      <c r="BS42" s="208"/>
      <c r="BT42" s="208"/>
      <c r="BU42" s="208"/>
      <c r="BV42" s="192"/>
      <c r="BW42" s="71"/>
      <c r="BX42" s="193"/>
      <c r="BY42" s="70"/>
      <c r="BZ42" s="206"/>
      <c r="CA42" s="206"/>
      <c r="CB42" s="206"/>
      <c r="CC42" s="192"/>
      <c r="CD42" s="71"/>
      <c r="CE42" s="193"/>
      <c r="CF42" s="70"/>
      <c r="CG42" s="206"/>
      <c r="CH42" s="206"/>
      <c r="CI42" s="206">
        <f>SUM(CI40:CI41)</f>
        <v>0</v>
      </c>
      <c r="CJ42" s="192" t="s">
        <v>53</v>
      </c>
      <c r="CK42" s="71">
        <f t="shared" si="15"/>
        <v>0</v>
      </c>
      <c r="CL42" s="193" t="e">
        <f t="shared" si="16"/>
        <v>#DIV/0!</v>
      </c>
      <c r="CM42" s="70" t="e">
        <f t="shared" si="17"/>
        <v>#DIV/0!</v>
      </c>
    </row>
    <row r="43" spans="1:91" s="33" customFormat="1" ht="38.1" customHeight="1">
      <c r="A43" s="209" t="s">
        <v>44</v>
      </c>
      <c r="B43" s="210" t="s">
        <v>252</v>
      </c>
      <c r="C43" s="211" t="s">
        <v>253</v>
      </c>
      <c r="D43" s="174"/>
      <c r="E43" s="86">
        <f t="shared" ref="E43:J43" si="42">E36/E42</f>
        <v>359.335992390765</v>
      </c>
      <c r="F43" s="86">
        <f t="shared" si="42"/>
        <v>141.09779448517378</v>
      </c>
      <c r="G43" s="88">
        <f t="shared" si="32"/>
        <v>0.39266257061089216</v>
      </c>
      <c r="H43" s="86">
        <f t="shared" si="42"/>
        <v>96.099575079579964</v>
      </c>
      <c r="I43" s="86">
        <f t="shared" si="42"/>
        <v>96.565796212435842</v>
      </c>
      <c r="J43" s="212">
        <f t="shared" si="42"/>
        <v>133.30181540853008</v>
      </c>
      <c r="K43" s="213" t="s">
        <v>53</v>
      </c>
      <c r="L43" s="214">
        <f>J43-I43</f>
        <v>36.736019196094233</v>
      </c>
      <c r="M43" s="215"/>
      <c r="N43" s="175"/>
      <c r="O43" s="216"/>
      <c r="P43" s="216"/>
      <c r="Q43" s="86">
        <f>Q36/Q42</f>
        <v>150.06030134140499</v>
      </c>
      <c r="R43" s="86"/>
      <c r="S43" s="86"/>
      <c r="T43" s="86"/>
      <c r="U43" s="86"/>
      <c r="V43" s="86">
        <f>V36/V42</f>
        <v>122.689068790901</v>
      </c>
      <c r="W43" s="216"/>
      <c r="X43" s="216"/>
      <c r="Y43" s="217"/>
      <c r="Z43" s="218"/>
      <c r="AA43" s="215"/>
      <c r="AB43" s="215"/>
      <c r="AC43" s="216"/>
      <c r="AD43" s="216"/>
      <c r="AE43" s="216"/>
      <c r="AF43" s="217"/>
      <c r="AG43" s="218"/>
      <c r="AH43" s="215"/>
      <c r="AI43" s="215"/>
      <c r="AJ43" s="216"/>
      <c r="AK43" s="216"/>
      <c r="AL43" s="216"/>
      <c r="AM43" s="217"/>
      <c r="AN43" s="218"/>
      <c r="AO43" s="215"/>
      <c r="AP43" s="215"/>
      <c r="AQ43" s="216"/>
      <c r="AR43" s="216"/>
      <c r="AS43" s="216"/>
      <c r="AT43" s="217"/>
      <c r="AU43" s="218"/>
      <c r="AV43" s="215"/>
      <c r="AW43" s="215"/>
      <c r="AX43" s="219"/>
      <c r="AY43" s="219"/>
      <c r="AZ43" s="219"/>
      <c r="BA43" s="217"/>
      <c r="BB43" s="220"/>
      <c r="BC43" s="179"/>
      <c r="BD43" s="96"/>
      <c r="BE43" s="219"/>
      <c r="BF43" s="219"/>
      <c r="BG43" s="219"/>
      <c r="BH43" s="213"/>
      <c r="BI43" s="220"/>
      <c r="BJ43" s="179"/>
      <c r="BK43" s="96"/>
      <c r="BL43" s="219"/>
      <c r="BM43" s="219"/>
      <c r="BN43" s="219"/>
      <c r="BO43" s="213"/>
      <c r="BP43" s="220"/>
      <c r="BQ43" s="179"/>
      <c r="BR43" s="96"/>
      <c r="BS43" s="221"/>
      <c r="BT43" s="221"/>
      <c r="BU43" s="221"/>
      <c r="BV43" s="217"/>
      <c r="BW43" s="220"/>
      <c r="BX43" s="179"/>
      <c r="BY43" s="96"/>
      <c r="BZ43" s="219"/>
      <c r="CA43" s="219"/>
      <c r="CB43" s="222"/>
      <c r="CC43" s="223"/>
      <c r="CD43" s="224"/>
      <c r="CE43" s="225"/>
      <c r="CF43" s="70"/>
      <c r="CG43" s="222"/>
      <c r="CH43" s="222"/>
      <c r="CI43" s="222" t="e">
        <f>CI36/CI42</f>
        <v>#DIV/0!</v>
      </c>
      <c r="CJ43" s="223" t="s">
        <v>53</v>
      </c>
      <c r="CK43" s="224" t="e">
        <f t="shared" si="15"/>
        <v>#DIV/0!</v>
      </c>
      <c r="CL43" s="225" t="e">
        <f t="shared" si="16"/>
        <v>#DIV/0!</v>
      </c>
      <c r="CM43" s="70" t="e">
        <f t="shared" si="17"/>
        <v>#DIV/0!</v>
      </c>
    </row>
    <row r="44" spans="1:91" s="30" customFormat="1" ht="23.25" customHeight="1">
      <c r="A44" s="725" t="s">
        <v>254</v>
      </c>
      <c r="B44" s="226" t="s">
        <v>157</v>
      </c>
      <c r="C44" s="227" t="s">
        <v>158</v>
      </c>
      <c r="D44" s="228"/>
      <c r="E44" s="57">
        <v>20692885.5</v>
      </c>
      <c r="F44" s="57">
        <f>J44+Q44</f>
        <v>2764156.98</v>
      </c>
      <c r="G44" s="58">
        <f t="shared" si="32"/>
        <v>0.13358006451057799</v>
      </c>
      <c r="H44" s="57">
        <v>438000</v>
      </c>
      <c r="I44" s="57">
        <v>833095.34499999997</v>
      </c>
      <c r="J44" s="57">
        <v>1290223.5349999999</v>
      </c>
      <c r="K44" s="130" t="s">
        <v>53</v>
      </c>
      <c r="L44" s="229"/>
      <c r="M44" s="128"/>
      <c r="N44" s="126"/>
      <c r="O44" s="230"/>
      <c r="P44" s="230"/>
      <c r="Q44" s="86">
        <v>1473933.4450000001</v>
      </c>
      <c r="R44" s="130"/>
      <c r="S44" s="229"/>
      <c r="T44" s="126"/>
      <c r="U44" s="126"/>
      <c r="V44" s="86">
        <v>3302214</v>
      </c>
      <c r="W44" s="86">
        <v>3303184.3</v>
      </c>
      <c r="X44" s="230"/>
      <c r="Y44" s="130"/>
      <c r="Z44" s="127"/>
      <c r="AA44" s="128"/>
      <c r="AB44" s="128"/>
      <c r="AC44" s="230"/>
      <c r="AD44" s="230"/>
      <c r="AE44" s="230"/>
      <c r="AF44" s="130"/>
      <c r="AG44" s="127"/>
      <c r="AH44" s="128"/>
      <c r="AI44" s="128"/>
      <c r="AJ44" s="230"/>
      <c r="AK44" s="230"/>
      <c r="AL44" s="230"/>
      <c r="AM44" s="130"/>
      <c r="AN44" s="127"/>
      <c r="AO44" s="128"/>
      <c r="AP44" s="128"/>
      <c r="AQ44" s="230"/>
      <c r="AR44" s="230"/>
      <c r="AS44" s="230"/>
      <c r="AT44" s="130"/>
      <c r="AU44" s="127"/>
      <c r="AV44" s="128"/>
      <c r="AW44" s="128"/>
      <c r="AX44" s="230"/>
      <c r="AY44" s="230"/>
      <c r="AZ44" s="230"/>
      <c r="BA44" s="130"/>
      <c r="BB44" s="71"/>
      <c r="BC44" s="128"/>
      <c r="BD44" s="70"/>
      <c r="BE44" s="230"/>
      <c r="BF44" s="230"/>
      <c r="BG44" s="230"/>
      <c r="BH44" s="130"/>
      <c r="BI44" s="71"/>
      <c r="BJ44" s="128"/>
      <c r="BK44" s="70"/>
      <c r="BL44" s="230"/>
      <c r="BM44" s="230"/>
      <c r="BN44" s="230"/>
      <c r="BO44" s="130"/>
      <c r="BP44" s="71"/>
      <c r="BQ44" s="128"/>
      <c r="BR44" s="70"/>
      <c r="BS44" s="231"/>
      <c r="BT44" s="231"/>
      <c r="BU44" s="231"/>
      <c r="BV44" s="130"/>
      <c r="BW44" s="71"/>
      <c r="BX44" s="128"/>
      <c r="BY44" s="70"/>
      <c r="BZ44" s="230"/>
      <c r="CA44" s="230"/>
      <c r="CB44" s="230"/>
      <c r="CC44" s="130"/>
      <c r="CD44" s="71"/>
      <c r="CE44" s="128"/>
      <c r="CF44" s="70"/>
      <c r="CG44" s="230"/>
      <c r="CH44" s="230"/>
      <c r="CI44" s="230"/>
      <c r="CJ44" s="130"/>
      <c r="CK44" s="71"/>
      <c r="CL44" s="128"/>
      <c r="CM44" s="70"/>
    </row>
    <row r="45" spans="1:91" s="34" customFormat="1" ht="39.950000000000003" customHeight="1">
      <c r="A45" s="740"/>
      <c r="B45" s="232" t="s">
        <v>255</v>
      </c>
      <c r="C45" s="233" t="s">
        <v>256</v>
      </c>
      <c r="D45" s="234"/>
      <c r="E45" s="57">
        <v>188833142.84999999</v>
      </c>
      <c r="F45" s="57">
        <f>J45+Q45</f>
        <v>29621300</v>
      </c>
      <c r="G45" s="58">
        <f t="shared" si="32"/>
        <v>0.15686494199553599</v>
      </c>
      <c r="H45" s="57">
        <v>13810887.74</v>
      </c>
      <c r="I45" s="57">
        <v>13810887.74</v>
      </c>
      <c r="J45" s="57">
        <v>13875000</v>
      </c>
      <c r="K45" s="235" t="s">
        <v>53</v>
      </c>
      <c r="L45" s="57">
        <f>J45-I45</f>
        <v>64112.259999999798</v>
      </c>
      <c r="M45" s="236">
        <f>J45/I45</f>
        <v>1.0046421534377099</v>
      </c>
      <c r="N45" s="236">
        <f>J45/H45</f>
        <v>1.0046421534377099</v>
      </c>
      <c r="O45" s="57">
        <v>14908110.9391098</v>
      </c>
      <c r="P45" s="57">
        <v>14908110.9391098</v>
      </c>
      <c r="Q45" s="57">
        <v>15746300</v>
      </c>
      <c r="R45" s="57"/>
      <c r="S45" s="57">
        <f>Q45-P45</f>
        <v>838189.06089019997</v>
      </c>
      <c r="T45" s="58">
        <f>Q45/P45</f>
        <v>1.0562236935527001</v>
      </c>
      <c r="U45" s="58">
        <f>Q45/O45</f>
        <v>1.0562236935527001</v>
      </c>
      <c r="V45" s="57">
        <v>17186106.25</v>
      </c>
      <c r="W45" s="57">
        <v>17186106.25</v>
      </c>
      <c r="X45" s="237"/>
      <c r="Y45" s="235"/>
      <c r="Z45" s="238"/>
      <c r="AA45" s="239"/>
      <c r="AB45" s="239"/>
      <c r="AC45" s="240"/>
      <c r="AD45" s="237"/>
      <c r="AE45" s="237"/>
      <c r="AF45" s="235"/>
      <c r="AG45" s="238"/>
      <c r="AH45" s="239"/>
      <c r="AI45" s="239"/>
      <c r="AJ45" s="240"/>
      <c r="AK45" s="237"/>
      <c r="AL45" s="237"/>
      <c r="AM45" s="235"/>
      <c r="AN45" s="238"/>
      <c r="AO45" s="239"/>
      <c r="AP45" s="239"/>
      <c r="AQ45" s="240"/>
      <c r="AR45" s="237"/>
      <c r="AS45" s="237"/>
      <c r="AT45" s="235"/>
      <c r="AU45" s="238"/>
      <c r="AV45" s="239"/>
      <c r="AW45" s="239"/>
      <c r="AX45" s="240"/>
      <c r="AY45" s="237"/>
      <c r="AZ45" s="237"/>
      <c r="BA45" s="235"/>
      <c r="BB45" s="241"/>
      <c r="BC45" s="239"/>
      <c r="BD45" s="242"/>
      <c r="BE45" s="240"/>
      <c r="BF45" s="237"/>
      <c r="BG45" s="237"/>
      <c r="BH45" s="235"/>
      <c r="BI45" s="241"/>
      <c r="BJ45" s="239"/>
      <c r="BK45" s="242"/>
      <c r="BL45" s="240"/>
      <c r="BM45" s="237"/>
      <c r="BN45" s="237"/>
      <c r="BO45" s="235"/>
      <c r="BP45" s="241"/>
      <c r="BQ45" s="239"/>
      <c r="BR45" s="242"/>
      <c r="BS45" s="243"/>
      <c r="BT45" s="243"/>
      <c r="BU45" s="243"/>
      <c r="BV45" s="235"/>
      <c r="BW45" s="241"/>
      <c r="BX45" s="236"/>
      <c r="BY45" s="244"/>
      <c r="BZ45" s="245"/>
      <c r="CA45" s="245"/>
      <c r="CB45" s="246"/>
      <c r="CC45" s="235"/>
      <c r="CD45" s="241"/>
      <c r="CE45" s="239"/>
      <c r="CF45" s="242"/>
      <c r="CG45" s="247"/>
      <c r="CH45" s="247"/>
      <c r="CI45" s="246"/>
      <c r="CJ45" s="235"/>
      <c r="CK45" s="241"/>
      <c r="CL45" s="239"/>
      <c r="CM45" s="242"/>
    </row>
    <row r="46" spans="1:91" s="34" customFormat="1" ht="32.1" customHeight="1">
      <c r="A46" s="740"/>
      <c r="B46" s="248" t="s">
        <v>257</v>
      </c>
      <c r="C46" s="249" t="s">
        <v>158</v>
      </c>
      <c r="D46" s="250"/>
      <c r="E46" s="57">
        <v>1634486754</v>
      </c>
      <c r="F46" s="57">
        <f>J46+Q46</f>
        <v>255440000</v>
      </c>
      <c r="G46" s="58">
        <f t="shared" si="32"/>
        <v>0.15628147452089999</v>
      </c>
      <c r="H46" s="57">
        <v>120003224.59999999</v>
      </c>
      <c r="I46" s="57">
        <v>120003224.59999999</v>
      </c>
      <c r="J46" s="57">
        <f>威高广场1月实际!I47</f>
        <v>106620000</v>
      </c>
      <c r="K46" s="235"/>
      <c r="L46" s="57">
        <f>J46-I46</f>
        <v>-13383224.6</v>
      </c>
      <c r="M46" s="236">
        <f>J46/I46</f>
        <v>0.88847612516572305</v>
      </c>
      <c r="N46" s="236">
        <f>J46/H46</f>
        <v>0.88847612516572305</v>
      </c>
      <c r="O46" s="57">
        <v>146129813.725095</v>
      </c>
      <c r="P46" s="57">
        <v>146129813.725095</v>
      </c>
      <c r="Q46" s="57">
        <v>148820000</v>
      </c>
      <c r="R46" s="57"/>
      <c r="S46" s="57">
        <f>Q46-P46</f>
        <v>2690186.2749049999</v>
      </c>
      <c r="T46" s="58">
        <f>Q46/P46</f>
        <v>1.01840956479946</v>
      </c>
      <c r="U46" s="58">
        <f>Q46/O46</f>
        <v>1.01840956479946</v>
      </c>
      <c r="V46" s="57">
        <v>99168062.430000007</v>
      </c>
      <c r="W46" s="57">
        <v>99168062.430000007</v>
      </c>
      <c r="X46" s="237"/>
      <c r="Y46" s="235"/>
      <c r="Z46" s="238"/>
      <c r="AA46" s="239"/>
      <c r="AB46" s="239"/>
      <c r="AC46" s="240"/>
      <c r="AD46" s="240"/>
      <c r="AE46" s="237"/>
      <c r="AF46" s="235"/>
      <c r="AG46" s="238"/>
      <c r="AH46" s="239"/>
      <c r="AI46" s="239"/>
      <c r="AJ46" s="240"/>
      <c r="AK46" s="240"/>
      <c r="AL46" s="237"/>
      <c r="AM46" s="235"/>
      <c r="AN46" s="238"/>
      <c r="AO46" s="239"/>
      <c r="AP46" s="239"/>
      <c r="AQ46" s="240"/>
      <c r="AR46" s="240"/>
      <c r="AS46" s="237"/>
      <c r="AT46" s="235"/>
      <c r="AU46" s="238"/>
      <c r="AV46" s="239"/>
      <c r="AW46" s="239"/>
      <c r="AX46" s="240"/>
      <c r="AY46" s="240"/>
      <c r="AZ46" s="237"/>
      <c r="BA46" s="235"/>
      <c r="BB46" s="241"/>
      <c r="BC46" s="239"/>
      <c r="BD46" s="242"/>
      <c r="BE46" s="240"/>
      <c r="BF46" s="240"/>
      <c r="BG46" s="237"/>
      <c r="BH46" s="235"/>
      <c r="BI46" s="241"/>
      <c r="BJ46" s="239"/>
      <c r="BK46" s="242"/>
      <c r="BL46" s="240"/>
      <c r="BM46" s="240"/>
      <c r="BN46" s="237"/>
      <c r="BO46" s="235"/>
      <c r="BP46" s="241"/>
      <c r="BQ46" s="239"/>
      <c r="BR46" s="242"/>
      <c r="BS46" s="243"/>
      <c r="BT46" s="243"/>
      <c r="BU46" s="243"/>
      <c r="BV46" s="235"/>
      <c r="BW46" s="241"/>
      <c r="BX46" s="236"/>
      <c r="BY46" s="244"/>
      <c r="BZ46" s="245"/>
      <c r="CA46" s="245"/>
      <c r="CB46" s="246"/>
      <c r="CC46" s="235"/>
      <c r="CD46" s="241"/>
      <c r="CE46" s="239"/>
      <c r="CF46" s="242"/>
      <c r="CG46" s="247"/>
      <c r="CH46" s="247"/>
      <c r="CI46" s="246"/>
      <c r="CJ46" s="235"/>
      <c r="CK46" s="241"/>
      <c r="CL46" s="239"/>
      <c r="CM46" s="242"/>
    </row>
    <row r="47" spans="1:91" s="32" customFormat="1" ht="32.1" customHeight="1">
      <c r="A47" s="726"/>
      <c r="B47" s="251" t="s">
        <v>258</v>
      </c>
      <c r="C47" s="252" t="s">
        <v>259</v>
      </c>
      <c r="D47" s="252"/>
      <c r="E47" s="253"/>
      <c r="F47" s="253"/>
      <c r="G47" s="254"/>
      <c r="H47" s="255">
        <v>5.0000000000000001E-3</v>
      </c>
      <c r="I47" s="255">
        <v>5.0000000000000001E-3</v>
      </c>
      <c r="J47" s="255">
        <v>2.8999999999999998E-3</v>
      </c>
      <c r="K47" s="256"/>
      <c r="L47" s="257">
        <f>J47-I47</f>
        <v>-2.0999999999999999E-3</v>
      </c>
      <c r="M47" s="258">
        <f>J47/I47</f>
        <v>0.57999999999999996</v>
      </c>
      <c r="N47" s="259">
        <f>J47/H47</f>
        <v>0.57999999999999996</v>
      </c>
      <c r="O47" s="255">
        <v>0.01</v>
      </c>
      <c r="P47" s="57">
        <v>0.01</v>
      </c>
      <c r="Q47" s="57">
        <v>5.0000000000000001E-3</v>
      </c>
      <c r="R47" s="57"/>
      <c r="S47" s="57">
        <f>Q47-P47</f>
        <v>-5.0000000000000001E-3</v>
      </c>
      <c r="T47" s="58">
        <f>Q47/P47</f>
        <v>0.5</v>
      </c>
      <c r="U47" s="58">
        <f>Q47/O47</f>
        <v>0.5</v>
      </c>
      <c r="V47" s="57">
        <v>1.4999999999999999E-2</v>
      </c>
      <c r="W47" s="57">
        <v>1.4999999999999999E-2</v>
      </c>
      <c r="X47" s="260"/>
      <c r="Y47" s="256"/>
      <c r="Z47" s="261"/>
      <c r="AA47" s="258"/>
      <c r="AB47" s="258"/>
      <c r="AC47" s="260"/>
      <c r="AD47" s="260"/>
      <c r="AE47" s="260"/>
      <c r="AF47" s="256"/>
      <c r="AG47" s="261"/>
      <c r="AH47" s="258"/>
      <c r="AI47" s="258"/>
      <c r="AJ47" s="260"/>
      <c r="AK47" s="260"/>
      <c r="AL47" s="260"/>
      <c r="AM47" s="256"/>
      <c r="AN47" s="261"/>
      <c r="AO47" s="258"/>
      <c r="AP47" s="258"/>
      <c r="AQ47" s="260"/>
      <c r="AR47" s="260"/>
      <c r="AS47" s="260"/>
      <c r="AT47" s="256"/>
      <c r="AU47" s="261"/>
      <c r="AV47" s="258"/>
      <c r="AW47" s="258"/>
      <c r="AX47" s="260"/>
      <c r="AY47" s="260"/>
      <c r="AZ47" s="260"/>
      <c r="BA47" s="256"/>
      <c r="BB47" s="71"/>
      <c r="BC47" s="258"/>
      <c r="BD47" s="70"/>
      <c r="BE47" s="260"/>
      <c r="BF47" s="260"/>
      <c r="BG47" s="260"/>
      <c r="BH47" s="256"/>
      <c r="BI47" s="71"/>
      <c r="BJ47" s="258"/>
      <c r="BK47" s="70"/>
      <c r="BL47" s="260"/>
      <c r="BM47" s="260"/>
      <c r="BN47" s="260"/>
      <c r="BO47" s="256"/>
      <c r="BP47" s="71"/>
      <c r="BQ47" s="258"/>
      <c r="BR47" s="70"/>
      <c r="BS47" s="262"/>
      <c r="BT47" s="262"/>
      <c r="BU47" s="262"/>
      <c r="BV47" s="256"/>
      <c r="BW47" s="71"/>
      <c r="BX47" s="258"/>
      <c r="BY47" s="70"/>
      <c r="BZ47" s="255"/>
      <c r="CA47" s="255"/>
      <c r="CB47" s="260"/>
      <c r="CC47" s="256"/>
      <c r="CD47" s="71"/>
      <c r="CE47" s="258"/>
      <c r="CF47" s="70"/>
      <c r="CG47" s="260"/>
      <c r="CH47" s="260"/>
      <c r="CI47" s="260"/>
      <c r="CJ47" s="256"/>
      <c r="CK47" s="71"/>
      <c r="CL47" s="258"/>
      <c r="CM47" s="70"/>
    </row>
    <row r="48" spans="1:91" s="33" customFormat="1" ht="23.25" customHeight="1">
      <c r="A48" s="730" t="s">
        <v>260</v>
      </c>
      <c r="B48" s="731"/>
      <c r="C48" s="731"/>
      <c r="D48" s="731"/>
      <c r="E48" s="731"/>
      <c r="F48" s="731"/>
      <c r="G48" s="732"/>
      <c r="H48" s="731"/>
      <c r="I48" s="731"/>
      <c r="J48" s="733"/>
      <c r="K48" s="263"/>
      <c r="L48" s="264"/>
      <c r="M48" s="263"/>
      <c r="N48" s="263"/>
      <c r="O48" s="265"/>
      <c r="P48" s="265"/>
      <c r="Q48" s="265"/>
      <c r="R48" s="263"/>
      <c r="S48" s="264"/>
      <c r="T48" s="263"/>
      <c r="U48" s="263"/>
      <c r="V48" s="265"/>
      <c r="W48" s="265"/>
      <c r="X48" s="265"/>
      <c r="Y48" s="263"/>
      <c r="Z48" s="263"/>
      <c r="AA48" s="263"/>
      <c r="AB48" s="265"/>
      <c r="AC48" s="265"/>
      <c r="AD48" s="265"/>
      <c r="AE48" s="265"/>
      <c r="AF48" s="263"/>
      <c r="AG48" s="263"/>
      <c r="AH48" s="263"/>
      <c r="AI48" s="265"/>
      <c r="AJ48" s="265"/>
      <c r="AK48" s="265"/>
      <c r="AL48" s="265"/>
      <c r="AM48" s="263"/>
      <c r="AN48" s="263"/>
      <c r="AO48" s="263"/>
      <c r="AP48" s="265"/>
      <c r="AQ48" s="265"/>
      <c r="AR48" s="265"/>
      <c r="AS48" s="265"/>
      <c r="AT48" s="263"/>
      <c r="AU48" s="263"/>
      <c r="AV48" s="263"/>
      <c r="AW48" s="265"/>
      <c r="AX48" s="265"/>
      <c r="AY48" s="265"/>
      <c r="AZ48" s="265"/>
      <c r="BA48" s="263"/>
      <c r="BB48" s="71"/>
      <c r="BC48" s="266"/>
      <c r="BD48" s="70"/>
      <c r="BE48" s="265"/>
      <c r="BF48" s="265"/>
      <c r="BG48" s="265"/>
      <c r="BH48" s="263"/>
      <c r="BI48" s="71"/>
      <c r="BJ48" s="266"/>
      <c r="BK48" s="70"/>
      <c r="BL48" s="265"/>
      <c r="BM48" s="265"/>
      <c r="BN48" s="265"/>
      <c r="BO48" s="263"/>
      <c r="BP48" s="71"/>
      <c r="BQ48" s="266"/>
      <c r="BR48" s="70"/>
      <c r="BS48" s="267"/>
      <c r="BT48" s="267"/>
      <c r="BU48" s="267"/>
      <c r="BV48" s="263"/>
      <c r="BW48" s="71"/>
      <c r="BX48" s="266"/>
      <c r="BY48" s="70"/>
      <c r="BZ48" s="265"/>
      <c r="CA48" s="265"/>
      <c r="CB48" s="265"/>
      <c r="CC48" s="263"/>
      <c r="CD48" s="71"/>
      <c r="CE48" s="266"/>
      <c r="CF48" s="70"/>
      <c r="CG48" s="265"/>
      <c r="CH48" s="265"/>
      <c r="CI48" s="265"/>
      <c r="CJ48" s="263"/>
      <c r="CK48" s="71"/>
      <c r="CL48" s="266"/>
      <c r="CM48" s="70"/>
    </row>
    <row r="49" spans="1:91" s="30" customFormat="1" ht="23.25" customHeight="1">
      <c r="A49" s="725" t="s">
        <v>164</v>
      </c>
      <c r="B49" s="268" t="s">
        <v>261</v>
      </c>
      <c r="C49" s="227" t="s">
        <v>262</v>
      </c>
      <c r="D49" s="57">
        <v>20940298.699999999</v>
      </c>
      <c r="E49" s="57">
        <v>21551837.68</v>
      </c>
      <c r="F49" s="57"/>
      <c r="G49" s="57">
        <f t="shared" ref="G49:G51" si="43">F49/E49</f>
        <v>0</v>
      </c>
      <c r="H49" s="269">
        <v>1340898.31</v>
      </c>
      <c r="I49" s="269">
        <v>1340898.31</v>
      </c>
      <c r="J49" s="230">
        <f>威高广场1月实际!I50</f>
        <v>1702226.46</v>
      </c>
      <c r="K49" s="126"/>
      <c r="L49" s="229"/>
      <c r="M49" s="128"/>
      <c r="N49" s="130"/>
      <c r="O49" s="230"/>
      <c r="P49" s="230"/>
      <c r="Q49" s="230"/>
      <c r="R49" s="126"/>
      <c r="S49" s="229"/>
      <c r="T49" s="126"/>
      <c r="U49" s="130"/>
      <c r="V49" s="230"/>
      <c r="W49" s="230"/>
      <c r="X49" s="230"/>
      <c r="Y49" s="126"/>
      <c r="Z49" s="127"/>
      <c r="AA49" s="128"/>
      <c r="AB49" s="270"/>
      <c r="AC49" s="230"/>
      <c r="AD49" s="230"/>
      <c r="AE49" s="230"/>
      <c r="AF49" s="126"/>
      <c r="AG49" s="127"/>
      <c r="AH49" s="128"/>
      <c r="AI49" s="270"/>
      <c r="AJ49" s="230"/>
      <c r="AK49" s="230"/>
      <c r="AL49" s="230"/>
      <c r="AM49" s="126"/>
      <c r="AN49" s="127"/>
      <c r="AO49" s="128"/>
      <c r="AP49" s="270"/>
      <c r="AQ49" s="230"/>
      <c r="AR49" s="230"/>
      <c r="AS49" s="230"/>
      <c r="AT49" s="126"/>
      <c r="AU49" s="127"/>
      <c r="AV49" s="128"/>
      <c r="AW49" s="270"/>
      <c r="AX49" s="271"/>
      <c r="AY49" s="271"/>
      <c r="AZ49" s="271"/>
      <c r="BA49" s="70"/>
      <c r="BB49" s="71"/>
      <c r="BC49" s="128"/>
      <c r="BD49" s="70"/>
      <c r="BE49" s="271"/>
      <c r="BF49" s="271"/>
      <c r="BG49" s="271"/>
      <c r="BH49" s="130"/>
      <c r="BI49" s="71"/>
      <c r="BJ49" s="128"/>
      <c r="BK49" s="70"/>
      <c r="BL49" s="137"/>
      <c r="BM49" s="137"/>
      <c r="BN49" s="272"/>
      <c r="BO49" s="130"/>
      <c r="BP49" s="71"/>
      <c r="BQ49" s="128"/>
      <c r="BR49" s="70"/>
      <c r="BS49" s="139"/>
      <c r="BT49" s="139"/>
      <c r="BU49" s="139"/>
      <c r="BV49" s="70"/>
      <c r="BW49" s="71"/>
      <c r="BX49" s="128"/>
      <c r="BY49" s="70"/>
      <c r="BZ49" s="271"/>
      <c r="CA49" s="271"/>
      <c r="CB49" s="271"/>
      <c r="CC49" s="70"/>
      <c r="CD49" s="71"/>
      <c r="CE49" s="128"/>
      <c r="CF49" s="70"/>
      <c r="CG49" s="271"/>
      <c r="CH49" s="271"/>
      <c r="CI49" s="271"/>
      <c r="CJ49" s="70"/>
      <c r="CK49" s="71"/>
      <c r="CL49" s="128"/>
      <c r="CM49" s="70"/>
    </row>
    <row r="50" spans="1:91" s="31" customFormat="1" ht="23.25" customHeight="1">
      <c r="A50" s="726"/>
      <c r="B50" s="273" t="s">
        <v>263</v>
      </c>
      <c r="C50" s="274" t="s">
        <v>264</v>
      </c>
      <c r="D50" s="57" t="s">
        <v>265</v>
      </c>
      <c r="E50" s="57">
        <v>4340276.76</v>
      </c>
      <c r="F50" s="57"/>
      <c r="G50" s="57">
        <f t="shared" si="43"/>
        <v>0</v>
      </c>
      <c r="H50" s="269">
        <v>303202.8</v>
      </c>
      <c r="I50" s="269">
        <v>303202.8</v>
      </c>
      <c r="J50" s="230">
        <f>威高广场1月实际!I51</f>
        <v>303202.8</v>
      </c>
      <c r="K50" s="195" t="s">
        <v>53</v>
      </c>
      <c r="L50" s="198"/>
      <c r="M50" s="136"/>
      <c r="N50" s="195"/>
      <c r="O50" s="275"/>
      <c r="P50" s="275"/>
      <c r="Q50" s="276"/>
      <c r="R50" s="195"/>
      <c r="S50" s="198"/>
      <c r="T50" s="134"/>
      <c r="U50" s="195"/>
      <c r="V50" s="275"/>
      <c r="W50" s="275"/>
      <c r="X50" s="276"/>
      <c r="Y50" s="195"/>
      <c r="Z50" s="135"/>
      <c r="AA50" s="136"/>
      <c r="AB50" s="277"/>
      <c r="AC50" s="275"/>
      <c r="AD50" s="275"/>
      <c r="AE50" s="276"/>
      <c r="AF50" s="195"/>
      <c r="AG50" s="135"/>
      <c r="AH50" s="136"/>
      <c r="AI50" s="277"/>
      <c r="AJ50" s="275"/>
      <c r="AK50" s="275"/>
      <c r="AL50" s="276"/>
      <c r="AM50" s="195"/>
      <c r="AN50" s="135"/>
      <c r="AO50" s="136"/>
      <c r="AP50" s="277"/>
      <c r="AQ50" s="275"/>
      <c r="AR50" s="275"/>
      <c r="AS50" s="276"/>
      <c r="AT50" s="195"/>
      <c r="AU50" s="135"/>
      <c r="AV50" s="136"/>
      <c r="AW50" s="277"/>
      <c r="AX50" s="275"/>
      <c r="AY50" s="275"/>
      <c r="AZ50" s="275"/>
      <c r="BA50" s="70"/>
      <c r="BB50" s="71"/>
      <c r="BC50" s="136"/>
      <c r="BD50" s="70"/>
      <c r="BE50" s="275"/>
      <c r="BF50" s="275"/>
      <c r="BG50" s="275"/>
      <c r="BH50" s="130"/>
      <c r="BI50" s="71"/>
      <c r="BJ50" s="136"/>
      <c r="BK50" s="70"/>
      <c r="BL50" s="137"/>
      <c r="BM50" s="137"/>
      <c r="BN50" s="272"/>
      <c r="BO50" s="130"/>
      <c r="BP50" s="71"/>
      <c r="BQ50" s="136"/>
      <c r="BR50" s="70"/>
      <c r="BS50" s="139"/>
      <c r="BT50" s="139"/>
      <c r="BU50" s="278"/>
      <c r="BV50" s="70"/>
      <c r="BW50" s="71"/>
      <c r="BX50" s="136"/>
      <c r="BY50" s="70"/>
      <c r="BZ50" s="279"/>
      <c r="CA50" s="279"/>
      <c r="CB50" s="275"/>
      <c r="CC50" s="70"/>
      <c r="CD50" s="71"/>
      <c r="CE50" s="136"/>
      <c r="CF50" s="70"/>
      <c r="CG50" s="275"/>
      <c r="CH50" s="275"/>
      <c r="CI50" s="275"/>
      <c r="CJ50" s="70"/>
      <c r="CK50" s="71"/>
      <c r="CL50" s="136"/>
      <c r="CM50" s="70"/>
    </row>
    <row r="51" spans="1:91" s="31" customFormat="1" ht="23.25" customHeight="1">
      <c r="A51" s="726"/>
      <c r="B51" s="273" t="s">
        <v>266</v>
      </c>
      <c r="C51" s="274" t="s">
        <v>267</v>
      </c>
      <c r="D51" s="57" t="s">
        <v>268</v>
      </c>
      <c r="E51" s="57">
        <v>490617.59999999998</v>
      </c>
      <c r="F51" s="57"/>
      <c r="G51" s="57">
        <f t="shared" si="43"/>
        <v>0</v>
      </c>
      <c r="H51" s="269">
        <v>35352.300000000003</v>
      </c>
      <c r="I51" s="269">
        <v>35352.300000000003</v>
      </c>
      <c r="J51" s="230">
        <f>威高广场1月实际!I52</f>
        <v>35352.300000000003</v>
      </c>
      <c r="K51" s="195" t="s">
        <v>53</v>
      </c>
      <c r="L51" s="198"/>
      <c r="M51" s="136"/>
      <c r="N51" s="195"/>
      <c r="O51" s="280"/>
      <c r="P51" s="280"/>
      <c r="Q51" s="280"/>
      <c r="R51" s="195"/>
      <c r="S51" s="198"/>
      <c r="T51" s="134"/>
      <c r="U51" s="195"/>
      <c r="V51" s="280"/>
      <c r="W51" s="280"/>
      <c r="X51" s="276"/>
      <c r="Y51" s="195"/>
      <c r="Z51" s="135"/>
      <c r="AA51" s="136"/>
      <c r="AB51" s="277"/>
      <c r="AC51" s="280"/>
      <c r="AD51" s="280"/>
      <c r="AE51" s="276"/>
      <c r="AF51" s="195"/>
      <c r="AG51" s="135"/>
      <c r="AH51" s="136"/>
      <c r="AI51" s="277"/>
      <c r="AJ51" s="280"/>
      <c r="AK51" s="280"/>
      <c r="AL51" s="276"/>
      <c r="AM51" s="195"/>
      <c r="AN51" s="135"/>
      <c r="AO51" s="136"/>
      <c r="AP51" s="277"/>
      <c r="AQ51" s="280"/>
      <c r="AR51" s="280"/>
      <c r="AS51" s="280"/>
      <c r="AT51" s="195"/>
      <c r="AU51" s="135"/>
      <c r="AV51" s="136"/>
      <c r="AW51" s="277"/>
      <c r="AX51" s="81"/>
      <c r="AY51" s="81"/>
      <c r="AZ51" s="81"/>
      <c r="BA51" s="70"/>
      <c r="BB51" s="71"/>
      <c r="BC51" s="136"/>
      <c r="BD51" s="70"/>
      <c r="BE51" s="81"/>
      <c r="BF51" s="81"/>
      <c r="BG51" s="81"/>
      <c r="BH51" s="130"/>
      <c r="BI51" s="71"/>
      <c r="BJ51" s="136"/>
      <c r="BK51" s="70"/>
      <c r="BL51" s="137"/>
      <c r="BM51" s="137"/>
      <c r="BN51" s="272"/>
      <c r="BO51" s="130"/>
      <c r="BP51" s="71"/>
      <c r="BQ51" s="136"/>
      <c r="BR51" s="70"/>
      <c r="BS51" s="139"/>
      <c r="BT51" s="139"/>
      <c r="BU51" s="278"/>
      <c r="BV51" s="70"/>
      <c r="BW51" s="71"/>
      <c r="BX51" s="136"/>
      <c r="BY51" s="70"/>
      <c r="BZ51" s="279"/>
      <c r="CA51" s="279"/>
      <c r="CB51" s="81"/>
      <c r="CC51" s="70"/>
      <c r="CD51" s="71"/>
      <c r="CE51" s="136"/>
      <c r="CF51" s="70"/>
      <c r="CG51" s="81"/>
      <c r="CH51" s="81"/>
      <c r="CI51" s="81"/>
      <c r="CJ51" s="70"/>
      <c r="CK51" s="71"/>
      <c r="CL51" s="136"/>
      <c r="CM51" s="70"/>
    </row>
    <row r="52" spans="1:91" s="31" customFormat="1" ht="23.25" customHeight="1">
      <c r="A52" s="726"/>
      <c r="B52" s="281" t="s">
        <v>269</v>
      </c>
      <c r="C52" s="282"/>
      <c r="D52" s="57">
        <f>SUM(D49:D51)</f>
        <v>20940298.699999999</v>
      </c>
      <c r="E52" s="57">
        <f t="shared" ref="E52:J52" si="44">SUM(E49:E51)</f>
        <v>26382732.039999999</v>
      </c>
      <c r="F52" s="57"/>
      <c r="G52" s="57"/>
      <c r="H52" s="283">
        <f t="shared" si="44"/>
        <v>1679453.4100000001</v>
      </c>
      <c r="I52" s="283">
        <f t="shared" si="44"/>
        <v>1679453.4100000001</v>
      </c>
      <c r="J52" s="230">
        <f t="shared" si="44"/>
        <v>2040781.56</v>
      </c>
      <c r="K52" s="195"/>
      <c r="L52" s="198"/>
      <c r="M52" s="136"/>
      <c r="N52" s="195"/>
      <c r="O52" s="280"/>
      <c r="P52" s="280"/>
      <c r="Q52" s="280"/>
      <c r="R52" s="195"/>
      <c r="S52" s="198"/>
      <c r="T52" s="134"/>
      <c r="U52" s="195"/>
      <c r="V52" s="280"/>
      <c r="W52" s="280"/>
      <c r="X52" s="276"/>
      <c r="Y52" s="195"/>
      <c r="Z52" s="135"/>
      <c r="AA52" s="136"/>
      <c r="AB52" s="277"/>
      <c r="AC52" s="280"/>
      <c r="AD52" s="280"/>
      <c r="AE52" s="276"/>
      <c r="AF52" s="195"/>
      <c r="AG52" s="135"/>
      <c r="AH52" s="136"/>
      <c r="AI52" s="277"/>
      <c r="AJ52" s="280"/>
      <c r="AK52" s="280"/>
      <c r="AL52" s="276"/>
      <c r="AM52" s="195"/>
      <c r="AN52" s="135"/>
      <c r="AO52" s="136"/>
      <c r="AP52" s="277"/>
      <c r="AQ52" s="280"/>
      <c r="AR52" s="280"/>
      <c r="AS52" s="280"/>
      <c r="AT52" s="195"/>
      <c r="AU52" s="135"/>
      <c r="AV52" s="136"/>
      <c r="AW52" s="277"/>
      <c r="AX52" s="81"/>
      <c r="AY52" s="81"/>
      <c r="AZ52" s="81"/>
      <c r="BA52" s="70"/>
      <c r="BB52" s="71"/>
      <c r="BC52" s="136"/>
      <c r="BD52" s="70"/>
      <c r="BE52" s="81"/>
      <c r="BF52" s="81"/>
      <c r="BG52" s="81"/>
      <c r="BH52" s="130"/>
      <c r="BI52" s="71"/>
      <c r="BJ52" s="136"/>
      <c r="BK52" s="70"/>
      <c r="BL52" s="137"/>
      <c r="BM52" s="137"/>
      <c r="BN52" s="272"/>
      <c r="BO52" s="130"/>
      <c r="BP52" s="71"/>
      <c r="BQ52" s="136"/>
      <c r="BR52" s="70"/>
      <c r="BS52" s="139"/>
      <c r="BT52" s="139"/>
      <c r="BU52" s="278"/>
      <c r="BV52" s="70"/>
      <c r="BW52" s="71"/>
      <c r="BX52" s="136"/>
      <c r="BY52" s="70"/>
      <c r="BZ52" s="279"/>
      <c r="CA52" s="279"/>
      <c r="CB52" s="81"/>
      <c r="CC52" s="70"/>
      <c r="CD52" s="71"/>
      <c r="CE52" s="136"/>
      <c r="CF52" s="70"/>
      <c r="CG52" s="81"/>
      <c r="CH52" s="81"/>
      <c r="CI52" s="81"/>
      <c r="CJ52" s="70"/>
      <c r="CK52" s="71"/>
      <c r="CL52" s="136"/>
      <c r="CM52" s="70"/>
    </row>
    <row r="53" spans="1:91" s="31" customFormat="1" ht="23.25" customHeight="1">
      <c r="A53" s="726"/>
      <c r="B53" s="273" t="s">
        <v>270</v>
      </c>
      <c r="C53" s="274" t="s">
        <v>271</v>
      </c>
      <c r="D53" s="57"/>
      <c r="E53" s="57">
        <v>80000</v>
      </c>
      <c r="F53" s="57"/>
      <c r="G53" s="57">
        <f t="shared" ref="G53:G57" si="45">F53/E53</f>
        <v>0</v>
      </c>
      <c r="H53" s="284"/>
      <c r="I53" s="285"/>
      <c r="J53" s="285"/>
      <c r="K53" s="195" t="s">
        <v>53</v>
      </c>
      <c r="L53" s="198"/>
      <c r="M53" s="136"/>
      <c r="N53" s="195"/>
      <c r="O53" s="285"/>
      <c r="P53" s="285"/>
      <c r="Q53" s="285"/>
      <c r="R53" s="195"/>
      <c r="S53" s="198"/>
      <c r="T53" s="134"/>
      <c r="U53" s="195"/>
      <c r="V53" s="285"/>
      <c r="W53" s="285"/>
      <c r="X53" s="285"/>
      <c r="Y53" s="195"/>
      <c r="Z53" s="135"/>
      <c r="AA53" s="136"/>
      <c r="AB53" s="277"/>
      <c r="AC53" s="285"/>
      <c r="AD53" s="285"/>
      <c r="AE53" s="285"/>
      <c r="AF53" s="195"/>
      <c r="AG53" s="135"/>
      <c r="AH53" s="136"/>
      <c r="AI53" s="277"/>
      <c r="AJ53" s="285"/>
      <c r="AK53" s="285"/>
      <c r="AL53" s="285"/>
      <c r="AM53" s="195"/>
      <c r="AN53" s="135"/>
      <c r="AO53" s="136"/>
      <c r="AP53" s="277"/>
      <c r="AQ53" s="285"/>
      <c r="AR53" s="285"/>
      <c r="AS53" s="285"/>
      <c r="AT53" s="195"/>
      <c r="AU53" s="135"/>
      <c r="AV53" s="136"/>
      <c r="AW53" s="277"/>
      <c r="AX53" s="81"/>
      <c r="AY53" s="81"/>
      <c r="AZ53" s="81"/>
      <c r="BA53" s="70"/>
      <c r="BB53" s="71"/>
      <c r="BC53" s="136"/>
      <c r="BD53" s="70"/>
      <c r="BE53" s="81"/>
      <c r="BF53" s="81"/>
      <c r="BG53" s="81"/>
      <c r="BH53" s="130"/>
      <c r="BI53" s="71"/>
      <c r="BJ53" s="136"/>
      <c r="BK53" s="70"/>
      <c r="BL53" s="137"/>
      <c r="BM53" s="137"/>
      <c r="BN53" s="272"/>
      <c r="BO53" s="130"/>
      <c r="BP53" s="71"/>
      <c r="BQ53" s="136"/>
      <c r="BR53" s="70"/>
      <c r="BS53" s="139"/>
      <c r="BT53" s="139"/>
      <c r="BU53" s="286"/>
      <c r="BV53" s="70"/>
      <c r="BW53" s="71"/>
      <c r="BX53" s="136"/>
      <c r="BY53" s="70"/>
      <c r="BZ53" s="81"/>
      <c r="CA53" s="81"/>
      <c r="CB53" s="81"/>
      <c r="CC53" s="70"/>
      <c r="CD53" s="71"/>
      <c r="CE53" s="136"/>
      <c r="CF53" s="70"/>
      <c r="CG53" s="81"/>
      <c r="CH53" s="81"/>
      <c r="CI53" s="81"/>
      <c r="CJ53" s="70"/>
      <c r="CK53" s="71"/>
      <c r="CL53" s="136"/>
      <c r="CM53" s="70"/>
    </row>
    <row r="54" spans="1:91" s="32" customFormat="1" ht="23.25" customHeight="1">
      <c r="A54" s="726"/>
      <c r="B54" s="287" t="s">
        <v>272</v>
      </c>
      <c r="C54" s="288" t="s">
        <v>273</v>
      </c>
      <c r="D54" s="57"/>
      <c r="E54" s="57"/>
      <c r="F54" s="57"/>
      <c r="G54" s="57" t="e">
        <f t="shared" si="45"/>
        <v>#DIV/0!</v>
      </c>
      <c r="H54" s="289"/>
      <c r="I54" s="290"/>
      <c r="J54" s="290"/>
      <c r="K54" s="207" t="s">
        <v>53</v>
      </c>
      <c r="L54" s="203"/>
      <c r="M54" s="129"/>
      <c r="N54" s="207"/>
      <c r="O54" s="290"/>
      <c r="P54" s="290"/>
      <c r="Q54" s="290"/>
      <c r="R54" s="207"/>
      <c r="S54" s="203"/>
      <c r="T54" s="205"/>
      <c r="U54" s="207"/>
      <c r="V54" s="290"/>
      <c r="W54" s="290"/>
      <c r="X54" s="290"/>
      <c r="Y54" s="207"/>
      <c r="Z54" s="168"/>
      <c r="AA54" s="129"/>
      <c r="AB54" s="290"/>
      <c r="AC54" s="290"/>
      <c r="AD54" s="290"/>
      <c r="AE54" s="290"/>
      <c r="AF54" s="207"/>
      <c r="AG54" s="168"/>
      <c r="AH54" s="129"/>
      <c r="AI54" s="290"/>
      <c r="AJ54" s="290"/>
      <c r="AK54" s="290"/>
      <c r="AL54" s="290"/>
      <c r="AM54" s="207"/>
      <c r="AN54" s="168"/>
      <c r="AO54" s="129"/>
      <c r="AP54" s="290"/>
      <c r="AQ54" s="290"/>
      <c r="AR54" s="290"/>
      <c r="AS54" s="290"/>
      <c r="AT54" s="207"/>
      <c r="AU54" s="168"/>
      <c r="AV54" s="129"/>
      <c r="AW54" s="290"/>
      <c r="AX54" s="291"/>
      <c r="AY54" s="291"/>
      <c r="AZ54" s="291"/>
      <c r="BA54" s="70"/>
      <c r="BB54" s="71"/>
      <c r="BC54" s="129"/>
      <c r="BD54" s="70"/>
      <c r="BE54" s="291"/>
      <c r="BF54" s="291"/>
      <c r="BG54" s="291"/>
      <c r="BH54" s="130"/>
      <c r="BI54" s="71"/>
      <c r="BJ54" s="129"/>
      <c r="BK54" s="70"/>
      <c r="BL54" s="137"/>
      <c r="BM54" s="137"/>
      <c r="BN54" s="272"/>
      <c r="BO54" s="130"/>
      <c r="BP54" s="71"/>
      <c r="BQ54" s="129"/>
      <c r="BR54" s="70"/>
      <c r="BS54" s="139"/>
      <c r="BT54" s="139"/>
      <c r="BU54" s="292"/>
      <c r="BV54" s="70"/>
      <c r="BW54" s="71"/>
      <c r="BX54" s="129"/>
      <c r="BY54" s="70"/>
      <c r="BZ54" s="291"/>
      <c r="CA54" s="291"/>
      <c r="CB54" s="291"/>
      <c r="CC54" s="70"/>
      <c r="CD54" s="71"/>
      <c r="CE54" s="129"/>
      <c r="CF54" s="70"/>
      <c r="CG54" s="291"/>
      <c r="CH54" s="291"/>
      <c r="CI54" s="291"/>
      <c r="CJ54" s="70"/>
      <c r="CK54" s="71"/>
      <c r="CL54" s="129"/>
      <c r="CM54" s="70"/>
    </row>
    <row r="55" spans="1:91" s="32" customFormat="1" ht="23.25" customHeight="1">
      <c r="A55" s="727"/>
      <c r="B55" s="293" t="s">
        <v>274</v>
      </c>
      <c r="C55" s="274" t="s">
        <v>275</v>
      </c>
      <c r="D55" s="57"/>
      <c r="E55" s="57"/>
      <c r="F55" s="57"/>
      <c r="G55" s="57"/>
      <c r="H55" s="294"/>
      <c r="I55" s="295"/>
      <c r="J55" s="295"/>
      <c r="K55" s="256"/>
      <c r="L55" s="296"/>
      <c r="M55" s="258"/>
      <c r="N55" s="256"/>
      <c r="O55" s="295"/>
      <c r="P55" s="295"/>
      <c r="Q55" s="295"/>
      <c r="R55" s="256"/>
      <c r="S55" s="296"/>
      <c r="T55" s="259"/>
      <c r="U55" s="256"/>
      <c r="V55" s="295"/>
      <c r="W55" s="295"/>
      <c r="X55" s="295"/>
      <c r="Y55" s="256"/>
      <c r="Z55" s="261"/>
      <c r="AA55" s="258"/>
      <c r="AB55" s="295"/>
      <c r="AC55" s="295"/>
      <c r="AD55" s="295"/>
      <c r="AE55" s="295"/>
      <c r="AF55" s="256"/>
      <c r="AG55" s="261"/>
      <c r="AH55" s="258"/>
      <c r="AI55" s="295"/>
      <c r="AJ55" s="295"/>
      <c r="AK55" s="295"/>
      <c r="AL55" s="295"/>
      <c r="AM55" s="256"/>
      <c r="AN55" s="261"/>
      <c r="AO55" s="258"/>
      <c r="AP55" s="295"/>
      <c r="AQ55" s="295"/>
      <c r="AR55" s="295"/>
      <c r="AS55" s="295"/>
      <c r="AT55" s="256"/>
      <c r="AU55" s="261"/>
      <c r="AV55" s="258"/>
      <c r="AW55" s="295"/>
      <c r="AX55" s="297"/>
      <c r="AY55" s="297"/>
      <c r="AZ55" s="297"/>
      <c r="BA55" s="70"/>
      <c r="BB55" s="71"/>
      <c r="BC55" s="129"/>
      <c r="BD55" s="70"/>
      <c r="BE55" s="297"/>
      <c r="BF55" s="297"/>
      <c r="BG55" s="297"/>
      <c r="BH55" s="130"/>
      <c r="BI55" s="71"/>
      <c r="BJ55" s="129"/>
      <c r="BK55" s="70"/>
      <c r="BL55" s="298"/>
      <c r="BM55" s="298"/>
      <c r="BN55" s="299"/>
      <c r="BO55" s="130"/>
      <c r="BP55" s="71"/>
      <c r="BQ55" s="129"/>
      <c r="BR55" s="70"/>
      <c r="BS55" s="300"/>
      <c r="BT55" s="300"/>
      <c r="BU55" s="301"/>
      <c r="BV55" s="70"/>
      <c r="BW55" s="71"/>
      <c r="BX55" s="129"/>
      <c r="BY55" s="70"/>
      <c r="BZ55" s="297"/>
      <c r="CA55" s="297"/>
      <c r="CB55" s="297"/>
      <c r="CC55" s="70"/>
      <c r="CD55" s="71"/>
      <c r="CE55" s="129"/>
      <c r="CF55" s="70"/>
      <c r="CG55" s="297"/>
      <c r="CH55" s="297"/>
      <c r="CI55" s="297"/>
      <c r="CJ55" s="70"/>
      <c r="CK55" s="71"/>
      <c r="CL55" s="129"/>
      <c r="CM55" s="70"/>
    </row>
    <row r="56" spans="1:91" s="33" customFormat="1" ht="23.25" customHeight="1">
      <c r="A56" s="209" t="s">
        <v>276</v>
      </c>
      <c r="B56" s="302" t="s">
        <v>277</v>
      </c>
      <c r="C56" s="303" t="s">
        <v>278</v>
      </c>
      <c r="D56" s="303"/>
      <c r="E56" s="87">
        <f>SUM(E49:E54)</f>
        <v>52845464.079999998</v>
      </c>
      <c r="F56" s="304">
        <f>SUM(F49:F54)</f>
        <v>0</v>
      </c>
      <c r="G56" s="305">
        <f t="shared" si="45"/>
        <v>0</v>
      </c>
      <c r="H56" s="306"/>
      <c r="I56" s="307"/>
      <c r="J56" s="307"/>
      <c r="K56" s="175"/>
      <c r="L56" s="308"/>
      <c r="M56" s="175"/>
      <c r="N56" s="175"/>
      <c r="O56" s="307"/>
      <c r="P56" s="307"/>
      <c r="Q56" s="307"/>
      <c r="R56" s="175"/>
      <c r="S56" s="308"/>
      <c r="T56" s="175"/>
      <c r="U56" s="175"/>
      <c r="V56" s="307"/>
      <c r="W56" s="307"/>
      <c r="X56" s="307"/>
      <c r="Y56" s="175"/>
      <c r="Z56" s="175"/>
      <c r="AA56" s="175"/>
      <c r="AB56" s="307"/>
      <c r="AC56" s="307"/>
      <c r="AD56" s="307"/>
      <c r="AE56" s="307"/>
      <c r="AF56" s="175"/>
      <c r="AG56" s="175"/>
      <c r="AH56" s="175"/>
      <c r="AI56" s="307"/>
      <c r="AJ56" s="307"/>
      <c r="AK56" s="307"/>
      <c r="AL56" s="307"/>
      <c r="AM56" s="175"/>
      <c r="AN56" s="175"/>
      <c r="AO56" s="175"/>
      <c r="AP56" s="307"/>
      <c r="AQ56" s="307"/>
      <c r="AR56" s="307"/>
      <c r="AS56" s="307"/>
      <c r="AT56" s="175"/>
      <c r="AU56" s="175"/>
      <c r="AV56" s="175"/>
      <c r="AW56" s="307"/>
      <c r="AX56" s="304"/>
      <c r="AY56" s="304"/>
      <c r="AZ56" s="304"/>
      <c r="BA56" s="96"/>
      <c r="BB56" s="97"/>
      <c r="BC56" s="115"/>
      <c r="BD56" s="96"/>
      <c r="BE56" s="304"/>
      <c r="BF56" s="304"/>
      <c r="BG56" s="304"/>
      <c r="BH56" s="117"/>
      <c r="BI56" s="97"/>
      <c r="BJ56" s="115"/>
      <c r="BK56" s="96"/>
      <c r="BL56" s="304"/>
      <c r="BM56" s="304"/>
      <c r="BN56" s="304"/>
      <c r="BO56" s="117"/>
      <c r="BP56" s="97"/>
      <c r="BQ56" s="115"/>
      <c r="BR56" s="96"/>
      <c r="BS56" s="309"/>
      <c r="BT56" s="309"/>
      <c r="BU56" s="309"/>
      <c r="BV56" s="96"/>
      <c r="BW56" s="97"/>
      <c r="BX56" s="115"/>
      <c r="BY56" s="96"/>
      <c r="BZ56" s="310"/>
      <c r="CA56" s="310"/>
      <c r="CB56" s="310"/>
      <c r="CC56" s="70"/>
      <c r="CD56" s="71"/>
      <c r="CE56" s="129"/>
      <c r="CF56" s="70"/>
      <c r="CG56" s="310"/>
      <c r="CH56" s="310"/>
      <c r="CI56" s="310"/>
      <c r="CJ56" s="70"/>
      <c r="CK56" s="71"/>
      <c r="CL56" s="129"/>
      <c r="CM56" s="70"/>
    </row>
    <row r="57" spans="1:91" s="33" customFormat="1" ht="23.25" customHeight="1">
      <c r="A57" s="311"/>
      <c r="B57" s="312" t="s">
        <v>173</v>
      </c>
      <c r="C57" s="313" t="s">
        <v>174</v>
      </c>
      <c r="D57" s="313"/>
      <c r="E57" s="57">
        <f>E52/E42</f>
        <v>44.263439919776999</v>
      </c>
      <c r="F57" s="314">
        <f>F56/F42</f>
        <v>0</v>
      </c>
      <c r="G57" s="315">
        <f t="shared" si="45"/>
        <v>0</v>
      </c>
      <c r="K57" s="316"/>
      <c r="L57" s="317"/>
      <c r="N57" s="316"/>
      <c r="Q57" s="318"/>
      <c r="S57" s="317"/>
      <c r="T57" s="316"/>
      <c r="U57" s="316"/>
      <c r="AX57" s="317"/>
      <c r="AY57" s="317"/>
      <c r="AZ57" s="317"/>
      <c r="BA57" s="70"/>
      <c r="BB57" s="71"/>
      <c r="BC57" s="129"/>
      <c r="BD57" s="70"/>
      <c r="BE57" s="317"/>
      <c r="BF57" s="317"/>
      <c r="BG57" s="317"/>
      <c r="BH57" s="130"/>
      <c r="BI57" s="71"/>
      <c r="BJ57" s="129"/>
      <c r="BK57" s="70"/>
      <c r="BL57" s="317"/>
      <c r="BM57" s="317"/>
      <c r="BN57" s="317"/>
      <c r="BO57" s="130"/>
      <c r="BP57" s="71"/>
      <c r="BQ57" s="129"/>
      <c r="BR57" s="70"/>
      <c r="BS57" s="319"/>
      <c r="BT57" s="319"/>
      <c r="BU57" s="319"/>
      <c r="BV57" s="70"/>
      <c r="BW57" s="71"/>
      <c r="BX57" s="129"/>
      <c r="BY57" s="70"/>
      <c r="BZ57" s="317"/>
      <c r="CA57" s="317"/>
      <c r="CB57" s="317"/>
      <c r="CC57" s="70"/>
      <c r="CD57" s="71"/>
      <c r="CE57" s="129"/>
      <c r="CF57" s="70"/>
      <c r="CG57" s="317"/>
      <c r="CH57" s="317"/>
      <c r="CI57" s="317"/>
      <c r="CJ57" s="70"/>
      <c r="CK57" s="71"/>
      <c r="CL57" s="129"/>
      <c r="CM57" s="70"/>
    </row>
    <row r="66" spans="2:8">
      <c r="B66" s="320"/>
      <c r="C66" s="321"/>
      <c r="D66" s="321"/>
    </row>
    <row r="77" spans="2:8">
      <c r="B77" s="320"/>
      <c r="C77" s="321"/>
      <c r="D77" s="321"/>
      <c r="E77" s="321"/>
      <c r="H77" s="321"/>
    </row>
  </sheetData>
  <sheetProtection formatCells="0" formatColumns="0" formatRows="0" insertColumns="0" insertRows="0" insertHyperlinks="0" deleteColumns="0" deleteRows="0" sort="0" autoFilter="0" pivotTables="0"/>
  <mergeCells count="23">
    <mergeCell ref="A1:N1"/>
    <mergeCell ref="C2:G2"/>
    <mergeCell ref="H2:N2"/>
    <mergeCell ref="O2:U2"/>
    <mergeCell ref="V2:AB2"/>
    <mergeCell ref="BL2:BR2"/>
    <mergeCell ref="BS2:BY2"/>
    <mergeCell ref="BZ2:CF2"/>
    <mergeCell ref="CG2:CM2"/>
    <mergeCell ref="A16:B16"/>
    <mergeCell ref="AC2:AI2"/>
    <mergeCell ref="AJ2:AP2"/>
    <mergeCell ref="AQ2:AW2"/>
    <mergeCell ref="AX2:BD2"/>
    <mergeCell ref="BE2:BK2"/>
    <mergeCell ref="A49:A55"/>
    <mergeCell ref="B2:B3"/>
    <mergeCell ref="A48:J48"/>
    <mergeCell ref="A2:A3"/>
    <mergeCell ref="A4:A15"/>
    <mergeCell ref="A17:A34"/>
    <mergeCell ref="A37:A42"/>
    <mergeCell ref="A44:A47"/>
  </mergeCells>
  <phoneticPr fontId="54" type="noConversion"/>
  <pageMargins left="0.75" right="0.75" top="1" bottom="1" header="0.5" footer="0.5"/>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
  <sheetViews>
    <sheetView topLeftCell="A9" workbookViewId="0">
      <selection activeCell="E21" sqref="E21:F21"/>
    </sheetView>
  </sheetViews>
  <sheetFormatPr defaultColWidth="9.625" defaultRowHeight="13.5"/>
  <cols>
    <col min="1" max="1" width="18" customWidth="1"/>
    <col min="2" max="2" width="13.375" style="322" customWidth="1"/>
    <col min="3" max="3" width="13.875" customWidth="1"/>
    <col min="4" max="4" width="10.625" customWidth="1"/>
    <col min="5" max="5" width="12.625" style="561" customWidth="1"/>
    <col min="6" max="6" width="18.875" style="561" customWidth="1"/>
  </cols>
  <sheetData>
    <row r="1" spans="1:8" ht="21" customHeight="1">
      <c r="A1" s="704" t="s">
        <v>182</v>
      </c>
      <c r="B1" s="705"/>
      <c r="C1" s="705"/>
      <c r="D1" s="705"/>
      <c r="E1" s="706"/>
      <c r="F1" s="707"/>
    </row>
    <row r="2" spans="1:8" ht="21" customHeight="1">
      <c r="A2" s="708" t="s">
        <v>183</v>
      </c>
      <c r="B2" s="709"/>
      <c r="C2" s="709"/>
      <c r="D2" s="709"/>
      <c r="E2" s="710"/>
      <c r="F2" s="711"/>
    </row>
    <row r="3" spans="1:8" ht="21" customHeight="1">
      <c r="A3" s="715" t="s">
        <v>184</v>
      </c>
      <c r="B3" s="323" t="s">
        <v>185</v>
      </c>
      <c r="C3" s="712" t="s">
        <v>185</v>
      </c>
      <c r="D3" s="712"/>
      <c r="E3" s="713" t="s">
        <v>186</v>
      </c>
      <c r="F3" s="714"/>
      <c r="H3" s="562"/>
    </row>
    <row r="4" spans="1:8" ht="21" customHeight="1">
      <c r="A4" s="716"/>
      <c r="B4" s="324" t="s">
        <v>50</v>
      </c>
      <c r="C4" s="325" t="s">
        <v>149</v>
      </c>
      <c r="D4" s="325" t="s">
        <v>40</v>
      </c>
      <c r="E4" s="563" t="s">
        <v>149</v>
      </c>
      <c r="F4" s="563" t="s">
        <v>40</v>
      </c>
    </row>
    <row r="5" spans="1:8" ht="21" customHeight="1">
      <c r="A5" s="326" t="s">
        <v>187</v>
      </c>
      <c r="B5" s="483">
        <v>13</v>
      </c>
      <c r="C5" s="484">
        <v>2392</v>
      </c>
      <c r="D5" s="484">
        <v>20</v>
      </c>
      <c r="E5" s="564">
        <v>2392</v>
      </c>
      <c r="F5" s="564">
        <v>101</v>
      </c>
    </row>
    <row r="6" spans="1:8" ht="21" customHeight="1">
      <c r="A6" s="326" t="s">
        <v>188</v>
      </c>
      <c r="B6" s="483">
        <v>5</v>
      </c>
      <c r="C6" s="486">
        <v>920</v>
      </c>
      <c r="D6" s="484">
        <v>0</v>
      </c>
      <c r="E6" s="564">
        <v>900</v>
      </c>
      <c r="F6" s="564">
        <v>0</v>
      </c>
    </row>
    <row r="7" spans="1:8" ht="21" customHeight="1">
      <c r="A7" s="326" t="s">
        <v>189</v>
      </c>
      <c r="B7" s="483">
        <v>10</v>
      </c>
      <c r="C7" s="484">
        <v>1840</v>
      </c>
      <c r="D7" s="484">
        <v>368</v>
      </c>
      <c r="E7" s="564">
        <v>1712</v>
      </c>
      <c r="F7" s="564">
        <v>0</v>
      </c>
    </row>
    <row r="8" spans="1:8" ht="21" customHeight="1">
      <c r="A8" s="326" t="s">
        <v>190</v>
      </c>
      <c r="B8" s="483">
        <v>54</v>
      </c>
      <c r="C8" s="484">
        <v>9936</v>
      </c>
      <c r="D8" s="484">
        <v>50</v>
      </c>
      <c r="E8" s="564">
        <v>9932</v>
      </c>
      <c r="F8" s="564">
        <v>6</v>
      </c>
    </row>
    <row r="9" spans="1:8" ht="21" customHeight="1">
      <c r="A9" s="326" t="s">
        <v>191</v>
      </c>
      <c r="B9" s="483">
        <v>11</v>
      </c>
      <c r="C9" s="484">
        <v>2024</v>
      </c>
      <c r="D9" s="484">
        <v>0</v>
      </c>
      <c r="E9" s="564">
        <v>1916</v>
      </c>
      <c r="F9" s="564">
        <v>0</v>
      </c>
    </row>
    <row r="10" spans="1:8" ht="21" customHeight="1">
      <c r="A10" s="326" t="s">
        <v>192</v>
      </c>
      <c r="B10" s="483">
        <v>20</v>
      </c>
      <c r="C10" s="484">
        <v>3680</v>
      </c>
      <c r="D10" s="484">
        <v>0</v>
      </c>
      <c r="E10" s="564">
        <v>3717</v>
      </c>
      <c r="F10" s="564">
        <v>3.5</v>
      </c>
    </row>
    <row r="11" spans="1:8" ht="21" customHeight="1">
      <c r="A11" s="326" t="s">
        <v>100</v>
      </c>
      <c r="B11" s="483">
        <v>13</v>
      </c>
      <c r="C11" s="484">
        <v>2656</v>
      </c>
      <c r="D11" s="484">
        <v>0</v>
      </c>
      <c r="E11" s="564">
        <v>2417.5</v>
      </c>
      <c r="F11" s="564">
        <v>0</v>
      </c>
    </row>
    <row r="12" spans="1:8" ht="21" customHeight="1">
      <c r="A12" s="326" t="s">
        <v>193</v>
      </c>
      <c r="B12" s="483">
        <v>20</v>
      </c>
      <c r="C12" s="484">
        <v>3600</v>
      </c>
      <c r="D12" s="484">
        <v>0</v>
      </c>
      <c r="E12" s="564">
        <v>3405</v>
      </c>
      <c r="F12" s="564">
        <v>0</v>
      </c>
    </row>
    <row r="13" spans="1:8" ht="21" customHeight="1">
      <c r="A13" s="326" t="s">
        <v>194</v>
      </c>
      <c r="B13" s="483">
        <v>28</v>
      </c>
      <c r="C13" s="484">
        <v>5104</v>
      </c>
      <c r="D13" s="484">
        <v>0</v>
      </c>
      <c r="E13" s="564">
        <v>6139</v>
      </c>
      <c r="F13" s="564">
        <v>0</v>
      </c>
    </row>
    <row r="14" spans="1:8" ht="21" customHeight="1">
      <c r="A14" s="326" t="s">
        <v>195</v>
      </c>
      <c r="B14" s="483">
        <v>6</v>
      </c>
      <c r="C14" s="484">
        <v>1104</v>
      </c>
      <c r="D14" s="484">
        <v>0</v>
      </c>
      <c r="E14" s="564">
        <v>1104</v>
      </c>
      <c r="F14" s="564">
        <v>0</v>
      </c>
    </row>
    <row r="15" spans="1:8" ht="21" customHeight="1">
      <c r="A15" s="326" t="s">
        <v>196</v>
      </c>
      <c r="B15" s="483">
        <v>16</v>
      </c>
      <c r="C15" s="484">
        <v>2944</v>
      </c>
      <c r="D15" s="484">
        <v>0</v>
      </c>
      <c r="E15" s="564">
        <v>2720</v>
      </c>
      <c r="F15" s="564">
        <v>0</v>
      </c>
    </row>
    <row r="16" spans="1:8" ht="21" customHeight="1">
      <c r="A16" s="326" t="s">
        <v>197</v>
      </c>
      <c r="B16" s="483">
        <v>11</v>
      </c>
      <c r="C16" s="484">
        <v>1978</v>
      </c>
      <c r="D16" s="484">
        <v>553</v>
      </c>
      <c r="E16" s="564">
        <v>1808</v>
      </c>
      <c r="F16" s="564">
        <v>550</v>
      </c>
    </row>
    <row r="17" spans="1:6" ht="21" customHeight="1">
      <c r="A17" s="326" t="s">
        <v>198</v>
      </c>
      <c r="B17" s="483">
        <v>51</v>
      </c>
      <c r="C17" s="484">
        <v>9281</v>
      </c>
      <c r="D17" s="484">
        <v>3772</v>
      </c>
      <c r="E17" s="564">
        <v>9012</v>
      </c>
      <c r="F17" s="564">
        <v>3630</v>
      </c>
    </row>
    <row r="18" spans="1:6" ht="21" customHeight="1">
      <c r="A18" s="332" t="s">
        <v>199</v>
      </c>
      <c r="B18" s="333">
        <f>SUM(B5:B17)</f>
        <v>258</v>
      </c>
      <c r="C18" s="333">
        <f>SUM(C5:C17)</f>
        <v>47459</v>
      </c>
      <c r="D18" s="333">
        <f>SUM(D5:D17)</f>
        <v>4763</v>
      </c>
      <c r="E18" s="565">
        <f>SUM(E5:E17)</f>
        <v>47174.5</v>
      </c>
      <c r="F18" s="565">
        <f>SUM(F5:F17)</f>
        <v>4290.5</v>
      </c>
    </row>
    <row r="19" spans="1:6" ht="21" customHeight="1">
      <c r="A19" s="326" t="s">
        <v>19</v>
      </c>
      <c r="B19" s="483">
        <v>19</v>
      </c>
      <c r="C19" s="483">
        <v>3496</v>
      </c>
      <c r="D19" s="483">
        <v>552</v>
      </c>
      <c r="E19" s="564">
        <v>3369</v>
      </c>
      <c r="F19" s="564">
        <v>532</v>
      </c>
    </row>
    <row r="20" spans="1:6" ht="21" customHeight="1">
      <c r="A20" s="326" t="s">
        <v>16</v>
      </c>
      <c r="B20" s="483">
        <v>16</v>
      </c>
      <c r="C20" s="483">
        <v>2944</v>
      </c>
      <c r="D20" s="483">
        <v>644</v>
      </c>
      <c r="E20" s="564">
        <v>2854</v>
      </c>
      <c r="F20" s="564">
        <v>496</v>
      </c>
    </row>
    <row r="21" spans="1:6" ht="21" customHeight="1">
      <c r="A21" s="335" t="s">
        <v>200</v>
      </c>
      <c r="B21" s="333">
        <f>SUM(B18:B20)</f>
        <v>293</v>
      </c>
      <c r="C21" s="333">
        <f>SUM(C18:C20)</f>
        <v>53899</v>
      </c>
      <c r="D21" s="333">
        <f>SUM(D18:D20)</f>
        <v>5959</v>
      </c>
      <c r="E21" s="566">
        <f>SUM(E18:E20)</f>
        <v>53397.5</v>
      </c>
      <c r="F21" s="566">
        <f>SUM(F18:F20)</f>
        <v>5318.5</v>
      </c>
    </row>
    <row r="22" spans="1:6" ht="30.95" customHeight="1"/>
  </sheetData>
  <sheetProtection formatCells="0" formatColumns="0" formatRows="0" insertColumns="0" insertRows="0" insertHyperlinks="0" deleteColumns="0" deleteRows="0" sort="0" autoFilter="0" pivotTables="0"/>
  <mergeCells count="5">
    <mergeCell ref="A1:F1"/>
    <mergeCell ref="A2:F2"/>
    <mergeCell ref="C3:D3"/>
    <mergeCell ref="E3:F3"/>
    <mergeCell ref="A3:A4"/>
  </mergeCells>
  <phoneticPr fontId="5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7"/>
  <sheetViews>
    <sheetView workbookViewId="0">
      <pane ySplit="2" topLeftCell="A3" activePane="bottomLeft" state="frozen"/>
      <selection pane="bottomLeft" activeCell="F13" sqref="F13"/>
    </sheetView>
  </sheetViews>
  <sheetFormatPr defaultColWidth="9.375" defaultRowHeight="26.1" customHeight="1"/>
  <cols>
    <col min="1" max="1" width="19.625" style="411" customWidth="1"/>
    <col min="2" max="2" width="4.875" style="412" customWidth="1"/>
    <col min="3" max="3" width="20" style="413" customWidth="1"/>
    <col min="4" max="4" width="24" style="414" customWidth="1"/>
    <col min="5" max="5" width="18.375" style="414" customWidth="1"/>
    <col min="6" max="6" width="21" style="410" customWidth="1"/>
    <col min="7" max="7" width="12.625" style="415" hidden="1" customWidth="1"/>
    <col min="8" max="8" width="16.625" style="410" customWidth="1"/>
    <col min="9" max="9" width="12.625" style="415" hidden="1" customWidth="1"/>
    <col min="10" max="10" width="19" style="410" customWidth="1"/>
    <col min="11" max="11" width="12.375" style="410" customWidth="1"/>
    <col min="12" max="12" width="19" style="410" customWidth="1"/>
    <col min="13" max="13" width="13.625" style="529" customWidth="1"/>
    <col min="14" max="14" width="13.875" style="410" customWidth="1"/>
    <col min="15" max="15" width="19" style="410" hidden="1" customWidth="1"/>
    <col min="16" max="16384" width="9.375" style="410"/>
  </cols>
  <sheetData>
    <row r="1" spans="1:15" s="409" customFormat="1" ht="39.950000000000003" customHeight="1">
      <c r="A1" s="618" t="s">
        <v>201</v>
      </c>
      <c r="B1" s="618"/>
      <c r="C1" s="619"/>
      <c r="D1" s="618"/>
      <c r="E1" s="618"/>
      <c r="F1" s="618"/>
      <c r="G1" s="620"/>
      <c r="H1" s="618"/>
      <c r="I1" s="620"/>
      <c r="J1" s="618"/>
      <c r="K1" s="618"/>
      <c r="L1" s="618"/>
      <c r="M1" s="717"/>
      <c r="N1" s="618"/>
    </row>
    <row r="2" spans="1:15" s="409" customFormat="1" ht="42" customHeight="1">
      <c r="A2" s="416" t="s">
        <v>1</v>
      </c>
      <c r="B2" s="417" t="s">
        <v>2</v>
      </c>
      <c r="C2" s="418" t="s">
        <v>3</v>
      </c>
      <c r="D2" s="419" t="s">
        <v>4</v>
      </c>
      <c r="E2" s="419" t="s">
        <v>5</v>
      </c>
      <c r="F2" s="420" t="s">
        <v>6</v>
      </c>
      <c r="G2" s="530" t="s">
        <v>8</v>
      </c>
      <c r="H2" s="421" t="s">
        <v>7</v>
      </c>
      <c r="I2" s="422" t="s">
        <v>8</v>
      </c>
      <c r="J2" s="423" t="s">
        <v>9</v>
      </c>
      <c r="K2" s="424" t="s">
        <v>8</v>
      </c>
      <c r="L2" s="424" t="s">
        <v>10</v>
      </c>
      <c r="M2" s="531" t="s">
        <v>11</v>
      </c>
      <c r="N2" s="426" t="s">
        <v>12</v>
      </c>
      <c r="O2" s="427" t="s">
        <v>13</v>
      </c>
    </row>
    <row r="3" spans="1:15" s="409" customFormat="1" ht="26.1" customHeight="1">
      <c r="A3" s="623" t="s">
        <v>14</v>
      </c>
      <c r="B3" s="428" t="s">
        <v>15</v>
      </c>
      <c r="C3" s="429" t="s">
        <v>16</v>
      </c>
      <c r="D3" s="430" t="s">
        <v>17</v>
      </c>
      <c r="E3" s="431">
        <f>商管公司1月实际!I3</f>
        <v>462886.05</v>
      </c>
      <c r="F3" s="431">
        <v>443280.99</v>
      </c>
      <c r="G3" s="532"/>
      <c r="H3" s="431">
        <v>443280.99</v>
      </c>
      <c r="I3" s="432">
        <f>H3/$H$6</f>
        <v>2.0415322025688101E-2</v>
      </c>
      <c r="J3" s="431">
        <v>445312.86</v>
      </c>
      <c r="K3" s="433">
        <f>J3/$J$6</f>
        <v>2.0325264120046801E-2</v>
      </c>
      <c r="L3" s="431">
        <f>J3-H3</f>
        <v>2031.87</v>
      </c>
      <c r="M3" s="533">
        <f>J3/H3</f>
        <v>1.0045837066010901</v>
      </c>
      <c r="N3" s="435">
        <f>J3/F3</f>
        <v>1.0045837066010901</v>
      </c>
      <c r="O3" s="436">
        <f t="shared" ref="O3:O11" si="0">F3/E3</f>
        <v>0.95764603405092896</v>
      </c>
    </row>
    <row r="4" spans="1:15" s="409" customFormat="1" ht="26.1" customHeight="1">
      <c r="A4" s="623"/>
      <c r="B4" s="428" t="s">
        <v>18</v>
      </c>
      <c r="C4" s="429" t="s">
        <v>19</v>
      </c>
      <c r="D4" s="430" t="s">
        <v>17</v>
      </c>
      <c r="E4" s="534">
        <f>商管公司1月实际!I4</f>
        <v>552400</v>
      </c>
      <c r="F4" s="534">
        <v>487810</v>
      </c>
      <c r="G4" s="535"/>
      <c r="H4" s="534">
        <v>487810</v>
      </c>
      <c r="I4" s="536">
        <f t="shared" ref="I4:I9" si="1">H4/$H$6</f>
        <v>2.2466107191627799E-2</v>
      </c>
      <c r="J4" s="534">
        <v>522043.76</v>
      </c>
      <c r="K4" s="537">
        <f t="shared" ref="K4:K9" si="2">J4/$J$6</f>
        <v>2.3827466613522801E-2</v>
      </c>
      <c r="L4" s="534">
        <f t="shared" ref="L4:L10" si="3">J4-H4</f>
        <v>34233.760000000002</v>
      </c>
      <c r="M4" s="538">
        <f t="shared" ref="M4:M10" si="4">J4/H4</f>
        <v>1.07017847112605</v>
      </c>
      <c r="N4" s="539">
        <f t="shared" ref="N4:N10" si="5">J4/F4</f>
        <v>1.07017847112605</v>
      </c>
      <c r="O4" s="436">
        <f t="shared" si="0"/>
        <v>0.88307385952208495</v>
      </c>
    </row>
    <row r="5" spans="1:15" s="409" customFormat="1" ht="26.1" customHeight="1">
      <c r="A5" s="623"/>
      <c r="B5" s="428" t="s">
        <v>20</v>
      </c>
      <c r="C5" s="429" t="s">
        <v>21</v>
      </c>
      <c r="D5" s="430" t="s">
        <v>17</v>
      </c>
      <c r="E5" s="431">
        <f>商管公司1月实际!I5</f>
        <v>21136434.710000001</v>
      </c>
      <c r="F5" s="431">
        <f>威高广场2月实际!F15</f>
        <v>20479206.996641699</v>
      </c>
      <c r="G5" s="532"/>
      <c r="H5" s="431">
        <f>威高广场2月实际!G15</f>
        <v>20782060.996641699</v>
      </c>
      <c r="I5" s="432">
        <f t="shared" si="1"/>
        <v>0.95711857078268403</v>
      </c>
      <c r="J5" s="431">
        <f>威高广场2月实际!I15</f>
        <v>20941970.48</v>
      </c>
      <c r="K5" s="433">
        <f t="shared" si="2"/>
        <v>0.95584726926643004</v>
      </c>
      <c r="L5" s="431">
        <f t="shared" si="3"/>
        <v>159909.48335826001</v>
      </c>
      <c r="M5" s="533">
        <f t="shared" si="4"/>
        <v>1.0076945921477201</v>
      </c>
      <c r="N5" s="435">
        <f t="shared" si="5"/>
        <v>1.0225967481765399</v>
      </c>
      <c r="O5" s="436">
        <f t="shared" si="0"/>
        <v>0.96890546005626221</v>
      </c>
    </row>
    <row r="6" spans="1:15" s="409" customFormat="1" ht="26.1" customHeight="1">
      <c r="A6" s="437"/>
      <c r="B6" s="438" t="s">
        <v>22</v>
      </c>
      <c r="C6" s="439" t="s">
        <v>23</v>
      </c>
      <c r="D6" s="440" t="s">
        <v>24</v>
      </c>
      <c r="E6" s="540">
        <f>SUM(E3:E5)</f>
        <v>22151720.760000002</v>
      </c>
      <c r="F6" s="453">
        <f>SUM(F3:F5)</f>
        <v>21410297.986641701</v>
      </c>
      <c r="G6" s="541"/>
      <c r="H6" s="441">
        <f>SUM(H3:H5)</f>
        <v>21713151.986641701</v>
      </c>
      <c r="I6" s="542"/>
      <c r="J6" s="441">
        <f>SUM(J3:J5)</f>
        <v>21909327.100000001</v>
      </c>
      <c r="K6" s="543"/>
      <c r="L6" s="441">
        <f t="shared" si="3"/>
        <v>196175.11335826301</v>
      </c>
      <c r="M6" s="544">
        <f t="shared" si="4"/>
        <v>1.00903485194038</v>
      </c>
      <c r="N6" s="545">
        <f t="shared" si="5"/>
        <v>1.02330790135054</v>
      </c>
      <c r="O6" s="436">
        <f t="shared" si="0"/>
        <v>0.96652978875135021</v>
      </c>
    </row>
    <row r="7" spans="1:15" s="409" customFormat="1" ht="26.1" customHeight="1">
      <c r="A7" s="617" t="s">
        <v>25</v>
      </c>
      <c r="B7" s="445" t="s">
        <v>26</v>
      </c>
      <c r="C7" s="429" t="s">
        <v>16</v>
      </c>
      <c r="D7" s="430" t="s">
        <v>17</v>
      </c>
      <c r="E7" s="546">
        <f>商管公司1月实际!I7</f>
        <v>126500</v>
      </c>
      <c r="F7" s="547">
        <v>153300</v>
      </c>
      <c r="G7" s="548"/>
      <c r="H7" s="547">
        <v>153300</v>
      </c>
      <c r="I7" s="549">
        <f t="shared" si="1"/>
        <v>7.0602370440879603E-3</v>
      </c>
      <c r="J7" s="546">
        <v>163000</v>
      </c>
      <c r="K7" s="550">
        <f t="shared" si="2"/>
        <v>7.4397538206456403E-3</v>
      </c>
      <c r="L7" s="546">
        <f t="shared" si="3"/>
        <v>9700</v>
      </c>
      <c r="M7" s="551">
        <f t="shared" si="4"/>
        <v>1.0632746249184599</v>
      </c>
      <c r="N7" s="435">
        <f t="shared" si="5"/>
        <v>1.0632746249184599</v>
      </c>
      <c r="O7" s="436">
        <f t="shared" si="0"/>
        <v>1.21185770750988</v>
      </c>
    </row>
    <row r="8" spans="1:15" s="409" customFormat="1" ht="26.1" customHeight="1">
      <c r="A8" s="617"/>
      <c r="B8" s="445" t="s">
        <v>27</v>
      </c>
      <c r="C8" s="429" t="s">
        <v>19</v>
      </c>
      <c r="D8" s="430" t="s">
        <v>17</v>
      </c>
      <c r="E8" s="431">
        <f>商管公司1月实际!I8</f>
        <v>396605</v>
      </c>
      <c r="F8" s="446">
        <v>388100</v>
      </c>
      <c r="G8" s="532"/>
      <c r="H8" s="446">
        <v>424830</v>
      </c>
      <c r="I8" s="432">
        <f t="shared" si="1"/>
        <v>1.9565561013958802E-2</v>
      </c>
      <c r="J8" s="431">
        <v>411756</v>
      </c>
      <c r="K8" s="433">
        <f t="shared" si="2"/>
        <v>1.8793639718857499E-2</v>
      </c>
      <c r="L8" s="431">
        <f t="shared" si="3"/>
        <v>-13074</v>
      </c>
      <c r="M8" s="533">
        <f t="shared" si="4"/>
        <v>0.96922533719370096</v>
      </c>
      <c r="N8" s="435">
        <f t="shared" si="5"/>
        <v>1.0609533625354299</v>
      </c>
      <c r="O8" s="436">
        <f t="shared" si="0"/>
        <v>0.97855548971898998</v>
      </c>
    </row>
    <row r="9" spans="1:15" s="409" customFormat="1" ht="26.1" customHeight="1">
      <c r="A9" s="617"/>
      <c r="B9" s="445" t="s">
        <v>28</v>
      </c>
      <c r="C9" s="429" t="s">
        <v>21</v>
      </c>
      <c r="D9" s="430" t="s">
        <v>17</v>
      </c>
      <c r="E9" s="431">
        <f>商管公司1月实际!I9</f>
        <v>14276056.779999999</v>
      </c>
      <c r="F9" s="446">
        <f>威高广场2月实际!F35</f>
        <v>14904788.84</v>
      </c>
      <c r="G9" s="532"/>
      <c r="H9" s="446">
        <f>威高广场2月实际!G35</f>
        <v>14755690.84</v>
      </c>
      <c r="I9" s="432">
        <f t="shared" si="1"/>
        <v>0.67957387527512902</v>
      </c>
      <c r="J9" s="431">
        <f>威高广场2月实际!I35</f>
        <v>14224296</v>
      </c>
      <c r="K9" s="433">
        <f t="shared" si="2"/>
        <v>0.649234727067451</v>
      </c>
      <c r="L9" s="431">
        <f t="shared" si="3"/>
        <v>-531394.83999999799</v>
      </c>
      <c r="M9" s="533">
        <f t="shared" si="4"/>
        <v>0.96398712566140998</v>
      </c>
      <c r="N9" s="435">
        <f t="shared" si="5"/>
        <v>0.95434401337013497</v>
      </c>
      <c r="O9" s="436">
        <f t="shared" si="0"/>
        <v>1.0440410170461651</v>
      </c>
    </row>
    <row r="10" spans="1:15" s="409" customFormat="1" ht="26.1" customHeight="1">
      <c r="A10" s="617"/>
      <c r="B10" s="447" t="s">
        <v>29</v>
      </c>
      <c r="C10" s="448" t="s">
        <v>30</v>
      </c>
      <c r="D10" s="449" t="s">
        <v>31</v>
      </c>
      <c r="E10" s="450">
        <f>SUM(E7:E9)</f>
        <v>14799161.779999999</v>
      </c>
      <c r="F10" s="450">
        <f>SUM(F7:F9)</f>
        <v>15446188.84</v>
      </c>
      <c r="G10" s="552"/>
      <c r="H10" s="553">
        <f>SUM(H7:H9)</f>
        <v>15333820.84</v>
      </c>
      <c r="I10" s="432"/>
      <c r="J10" s="431">
        <f>SUM(J7:J9)</f>
        <v>14799052</v>
      </c>
      <c r="K10" s="433"/>
      <c r="L10" s="431">
        <f t="shared" si="3"/>
        <v>-534768.83999999799</v>
      </c>
      <c r="M10" s="533">
        <f t="shared" si="4"/>
        <v>0.96512488012087705</v>
      </c>
      <c r="N10" s="435">
        <f t="shared" si="5"/>
        <v>0.95810378555491005</v>
      </c>
      <c r="O10" s="436">
        <f t="shared" si="0"/>
        <v>1.0437205207712785</v>
      </c>
    </row>
    <row r="11" spans="1:15" s="409" customFormat="1" ht="26.1" customHeight="1">
      <c r="A11" s="451" t="s">
        <v>32</v>
      </c>
      <c r="B11" s="438" t="s">
        <v>33</v>
      </c>
      <c r="C11" s="439" t="s">
        <v>34</v>
      </c>
      <c r="D11" s="452" t="s">
        <v>35</v>
      </c>
      <c r="E11" s="453">
        <f>E6-E10</f>
        <v>7352558.9800000023</v>
      </c>
      <c r="F11" s="455">
        <f t="shared" ref="F11:H11" si="6">F6-F10</f>
        <v>5964109.1466417396</v>
      </c>
      <c r="G11" s="455">
        <f t="shared" si="6"/>
        <v>0</v>
      </c>
      <c r="H11" s="455">
        <f t="shared" si="6"/>
        <v>6379331.1466417396</v>
      </c>
      <c r="I11" s="454"/>
      <c r="J11" s="455">
        <f>J6-J10</f>
        <v>7110275.0999999996</v>
      </c>
      <c r="K11" s="456"/>
      <c r="L11" s="455"/>
      <c r="M11" s="554"/>
      <c r="N11" s="458"/>
      <c r="O11" s="436">
        <f t="shared" si="0"/>
        <v>0.81116100705413696</v>
      </c>
    </row>
    <row r="12" spans="1:15" s="409" customFormat="1" ht="26.1" customHeight="1">
      <c r="A12" s="624" t="s">
        <v>36</v>
      </c>
      <c r="B12" s="428" t="s">
        <v>37</v>
      </c>
      <c r="C12" s="429" t="s">
        <v>38</v>
      </c>
      <c r="D12" s="430" t="s">
        <v>17</v>
      </c>
      <c r="E12" s="431">
        <f>'1月时间实际'!E21</f>
        <v>53397.5</v>
      </c>
      <c r="F12" s="459">
        <v>53899</v>
      </c>
      <c r="G12" s="555"/>
      <c r="H12" s="459">
        <f>'2月时间实际 '!C21</f>
        <v>44867</v>
      </c>
      <c r="I12" s="460"/>
      <c r="J12" s="459">
        <f>'2月时间实际 '!E21</f>
        <v>45366.5</v>
      </c>
      <c r="K12" s="461"/>
      <c r="L12" s="459">
        <f>J12-H12</f>
        <v>499.5</v>
      </c>
      <c r="M12" s="556"/>
      <c r="N12" s="462"/>
    </row>
    <row r="13" spans="1:15" s="409" customFormat="1" ht="26.1" customHeight="1">
      <c r="A13" s="624"/>
      <c r="B13" s="428" t="s">
        <v>39</v>
      </c>
      <c r="C13" s="429" t="s">
        <v>40</v>
      </c>
      <c r="D13" s="430" t="s">
        <v>17</v>
      </c>
      <c r="E13" s="431">
        <f>'1月时间实际'!F21</f>
        <v>5318.5</v>
      </c>
      <c r="F13" s="459">
        <v>5959</v>
      </c>
      <c r="G13" s="555"/>
      <c r="H13" s="459">
        <f>'2月时间实际 '!D21</f>
        <v>5257</v>
      </c>
      <c r="I13" s="460"/>
      <c r="J13" s="459">
        <f>'2月时间实际 '!F21</f>
        <v>5336</v>
      </c>
      <c r="K13" s="461"/>
      <c r="L13" s="459">
        <f>J13-H13</f>
        <v>79</v>
      </c>
      <c r="M13" s="556"/>
      <c r="N13" s="462"/>
    </row>
    <row r="14" spans="1:15" s="409" customFormat="1" ht="26.1" customHeight="1">
      <c r="A14" s="624"/>
      <c r="B14" s="428" t="s">
        <v>41</v>
      </c>
      <c r="C14" s="429" t="s">
        <v>42</v>
      </c>
      <c r="D14" s="463" t="s">
        <v>43</v>
      </c>
      <c r="E14" s="431">
        <f>SUM(E12:E13)</f>
        <v>58716</v>
      </c>
      <c r="F14" s="459">
        <f>SUM(F12:F13)</f>
        <v>59858</v>
      </c>
      <c r="G14" s="555"/>
      <c r="H14" s="459">
        <f>SUM(H12:H13)</f>
        <v>50124</v>
      </c>
      <c r="I14" s="460"/>
      <c r="J14" s="459">
        <f>SUM(J12:J13)</f>
        <v>50702.5</v>
      </c>
      <c r="K14" s="461"/>
      <c r="L14" s="459">
        <f>J14-H14</f>
        <v>578.5</v>
      </c>
      <c r="M14" s="556"/>
      <c r="N14" s="462"/>
    </row>
    <row r="15" spans="1:15" s="409" customFormat="1" ht="26.1" customHeight="1">
      <c r="A15" s="464" t="s">
        <v>44</v>
      </c>
      <c r="B15" s="438" t="s">
        <v>45</v>
      </c>
      <c r="C15" s="439" t="s">
        <v>46</v>
      </c>
      <c r="D15" s="452" t="s">
        <v>47</v>
      </c>
      <c r="E15" s="465">
        <f>E11/E14</f>
        <v>125.22240922406162</v>
      </c>
      <c r="F15" s="465">
        <f>F11/F14</f>
        <v>99.637628164017173</v>
      </c>
      <c r="G15" s="557"/>
      <c r="H15" s="465">
        <f>H11/H14</f>
        <v>127.27099087546399</v>
      </c>
      <c r="I15" s="454"/>
      <c r="J15" s="455">
        <f>J11/J14</f>
        <v>140.23519747546999</v>
      </c>
      <c r="K15" s="466"/>
      <c r="L15" s="455"/>
      <c r="M15" s="554"/>
      <c r="N15" s="457"/>
    </row>
    <row r="16" spans="1:15" s="409" customFormat="1" ht="26.1" customHeight="1">
      <c r="A16" s="617" t="s">
        <v>48</v>
      </c>
      <c r="B16" s="467" t="s">
        <v>49</v>
      </c>
      <c r="C16" s="429" t="s">
        <v>50</v>
      </c>
      <c r="D16" s="430" t="s">
        <v>17</v>
      </c>
      <c r="E16" s="468"/>
      <c r="F16" s="469">
        <v>293</v>
      </c>
      <c r="G16" s="555"/>
      <c r="H16" s="459">
        <v>293</v>
      </c>
      <c r="I16" s="460"/>
      <c r="J16" s="459">
        <f>'2月时间实际 '!B21</f>
        <v>295</v>
      </c>
      <c r="K16" s="461"/>
      <c r="L16" s="459"/>
      <c r="M16" s="556"/>
      <c r="N16" s="462"/>
    </row>
    <row r="17" spans="1:14" s="409" customFormat="1" ht="26.1" hidden="1" customHeight="1">
      <c r="A17" s="617"/>
      <c r="B17" s="428" t="s">
        <v>51</v>
      </c>
      <c r="C17" s="429"/>
      <c r="D17" s="430" t="s">
        <v>52</v>
      </c>
      <c r="E17" s="430"/>
      <c r="F17" s="459"/>
      <c r="G17" s="555"/>
      <c r="H17" s="459"/>
      <c r="I17" s="460"/>
      <c r="J17" s="459"/>
      <c r="K17" s="461" t="s">
        <v>53</v>
      </c>
      <c r="L17" s="459"/>
      <c r="M17" s="556" t="e">
        <f t="shared" ref="M17:M19" si="7">J17/H17</f>
        <v>#DIV/0!</v>
      </c>
      <c r="N17" s="462" t="e">
        <f t="shared" ref="N17:N19" si="8">J17/F17</f>
        <v>#DIV/0!</v>
      </c>
    </row>
    <row r="18" spans="1:14" s="409" customFormat="1" ht="26.1" hidden="1" customHeight="1">
      <c r="A18" s="617"/>
      <c r="B18" s="428" t="s">
        <v>54</v>
      </c>
      <c r="C18" s="558"/>
      <c r="D18" s="559" t="s">
        <v>55</v>
      </c>
      <c r="E18" s="559"/>
      <c r="F18" s="459"/>
      <c r="G18" s="555"/>
      <c r="H18" s="459"/>
      <c r="I18" s="460"/>
      <c r="J18" s="459"/>
      <c r="K18" s="461"/>
      <c r="L18" s="459"/>
      <c r="M18" s="556" t="e">
        <f t="shared" si="7"/>
        <v>#DIV/0!</v>
      </c>
      <c r="N18" s="462" t="e">
        <f t="shared" si="8"/>
        <v>#DIV/0!</v>
      </c>
    </row>
    <row r="19" spans="1:14" s="409" customFormat="1" ht="26.1" hidden="1" customHeight="1">
      <c r="A19" s="617"/>
      <c r="B19" s="428" t="s">
        <v>56</v>
      </c>
      <c r="C19" s="558"/>
      <c r="D19" s="430" t="s">
        <v>57</v>
      </c>
      <c r="E19" s="430"/>
      <c r="F19" s="459"/>
      <c r="G19" s="555"/>
      <c r="H19" s="459"/>
      <c r="I19" s="460"/>
      <c r="J19" s="459"/>
      <c r="K19" s="461"/>
      <c r="L19" s="459"/>
      <c r="M19" s="556" t="e">
        <f t="shared" si="7"/>
        <v>#DIV/0!</v>
      </c>
      <c r="N19" s="462" t="e">
        <f t="shared" si="8"/>
        <v>#DIV/0!</v>
      </c>
    </row>
    <row r="20" spans="1:14" s="409" customFormat="1" ht="26.1" customHeight="1">
      <c r="A20" s="617" t="s">
        <v>58</v>
      </c>
      <c r="B20" s="617"/>
      <c r="C20" s="621"/>
      <c r="D20" s="617"/>
      <c r="E20" s="617"/>
      <c r="F20" s="617"/>
      <c r="G20" s="622"/>
      <c r="H20" s="617"/>
      <c r="I20" s="622"/>
      <c r="J20" s="617"/>
      <c r="K20" s="617"/>
      <c r="L20" s="617"/>
      <c r="M20" s="718"/>
      <c r="N20" s="617"/>
    </row>
    <row r="21" spans="1:14" s="409" customFormat="1" ht="26.1" customHeight="1">
      <c r="A21" s="617" t="s">
        <v>59</v>
      </c>
      <c r="B21" s="428" t="s">
        <v>60</v>
      </c>
      <c r="C21" s="470" t="s">
        <v>61</v>
      </c>
      <c r="D21" s="430" t="s">
        <v>62</v>
      </c>
      <c r="E21" s="471">
        <v>2304821.2400000002</v>
      </c>
      <c r="F21" s="473">
        <v>1929396.72</v>
      </c>
      <c r="G21" s="555"/>
      <c r="H21" s="473">
        <v>2928855.79</v>
      </c>
      <c r="I21" s="460"/>
      <c r="J21" s="546">
        <v>2866764.81</v>
      </c>
      <c r="K21" s="475"/>
      <c r="L21" s="475"/>
      <c r="M21" s="556"/>
      <c r="N21" s="475"/>
    </row>
    <row r="22" spans="1:14" s="409" customFormat="1" ht="26.1" customHeight="1">
      <c r="A22" s="617"/>
      <c r="B22" s="476" t="s">
        <v>63</v>
      </c>
      <c r="C22" s="470" t="s">
        <v>64</v>
      </c>
      <c r="D22" s="477" t="s">
        <v>65</v>
      </c>
      <c r="E22" s="477"/>
      <c r="F22" s="473"/>
      <c r="G22" s="555"/>
      <c r="H22" s="475"/>
      <c r="I22" s="460" t="s">
        <v>53</v>
      </c>
      <c r="J22" s="474"/>
      <c r="K22" s="461" t="s">
        <v>53</v>
      </c>
      <c r="L22" s="475"/>
      <c r="M22" s="556"/>
      <c r="N22" s="475"/>
    </row>
    <row r="23" spans="1:14" s="409" customFormat="1" ht="26.1" customHeight="1">
      <c r="A23" s="617"/>
      <c r="B23" s="476" t="s">
        <v>66</v>
      </c>
      <c r="C23" s="429" t="s">
        <v>67</v>
      </c>
      <c r="D23" s="430" t="s">
        <v>68</v>
      </c>
      <c r="E23" s="430"/>
      <c r="F23" s="473"/>
      <c r="G23" s="555"/>
      <c r="H23" s="475"/>
      <c r="I23" s="460" t="s">
        <v>53</v>
      </c>
      <c r="J23" s="474"/>
      <c r="K23" s="461" t="s">
        <v>53</v>
      </c>
      <c r="L23" s="475"/>
      <c r="M23" s="556"/>
      <c r="N23" s="475"/>
    </row>
    <row r="24" spans="1:14" ht="26.1" customHeight="1">
      <c r="A24" s="617"/>
      <c r="B24" s="476" t="s">
        <v>69</v>
      </c>
      <c r="C24" s="429" t="s">
        <v>70</v>
      </c>
      <c r="D24" s="430" t="s">
        <v>71</v>
      </c>
      <c r="E24" s="430"/>
      <c r="F24" s="473"/>
      <c r="G24" s="555"/>
      <c r="H24" s="478"/>
      <c r="I24" s="460" t="s">
        <v>53</v>
      </c>
      <c r="J24" s="474"/>
      <c r="K24" s="461" t="s">
        <v>53</v>
      </c>
      <c r="L24" s="475"/>
      <c r="M24" s="556"/>
      <c r="N24" s="475"/>
    </row>
    <row r="25" spans="1:14" ht="26.1" customHeight="1">
      <c r="A25" s="479"/>
      <c r="B25" s="480"/>
      <c r="D25" s="410"/>
      <c r="E25" s="410"/>
      <c r="F25" s="481"/>
      <c r="G25" s="482"/>
      <c r="H25" s="481"/>
      <c r="I25" s="482"/>
      <c r="J25" s="481"/>
      <c r="K25" s="481"/>
      <c r="L25" s="481"/>
      <c r="M25" s="560"/>
      <c r="N25" s="481"/>
    </row>
    <row r="26" spans="1:14" ht="26.1" customHeight="1">
      <c r="A26" s="479"/>
      <c r="B26" s="480"/>
      <c r="D26" s="410"/>
      <c r="E26" s="410"/>
      <c r="F26" s="481"/>
      <c r="G26" s="482"/>
      <c r="H26" s="481"/>
      <c r="I26" s="482"/>
      <c r="J26" s="481"/>
      <c r="K26" s="481"/>
      <c r="L26" s="481"/>
      <c r="M26" s="560"/>
      <c r="N26" s="481"/>
    </row>
    <row r="27" spans="1:14" ht="26.1" customHeight="1">
      <c r="A27" s="479"/>
      <c r="B27" s="480"/>
      <c r="D27" s="410"/>
      <c r="E27" s="410"/>
      <c r="F27" s="481"/>
      <c r="G27" s="482"/>
      <c r="H27" s="481"/>
      <c r="I27" s="482"/>
      <c r="J27" s="481"/>
      <c r="K27" s="481"/>
      <c r="L27" s="481"/>
      <c r="M27" s="560"/>
      <c r="N27" s="481"/>
    </row>
  </sheetData>
  <sheetProtection formatCells="0" formatColumns="0" formatRows="0" insertColumns="0" insertRows="0" insertHyperlinks="0" deleteColumns="0" deleteRows="0" sort="0" autoFilter="0" pivotTables="0"/>
  <mergeCells count="7">
    <mergeCell ref="A21:A24"/>
    <mergeCell ref="A1:N1"/>
    <mergeCell ref="A20:N20"/>
    <mergeCell ref="A3:A5"/>
    <mergeCell ref="A7:A10"/>
    <mergeCell ref="A12:A14"/>
    <mergeCell ref="A16:A19"/>
  </mergeCells>
  <phoneticPr fontId="54" type="noConversion"/>
  <pageMargins left="0.75" right="0.75" top="1" bottom="1" header="0.5" footer="0.5"/>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62"/>
  <sheetViews>
    <sheetView workbookViewId="0">
      <pane ySplit="2" topLeftCell="A46" activePane="bottomLeft" state="frozen"/>
      <selection pane="bottomLeft" activeCell="E55" sqref="E55"/>
    </sheetView>
  </sheetViews>
  <sheetFormatPr defaultColWidth="9" defaultRowHeight="30.95" customHeight="1"/>
  <cols>
    <col min="1" max="1" width="7.375" customWidth="1"/>
    <col min="2" max="2" width="14" customWidth="1"/>
    <col min="3" max="3" width="9" customWidth="1"/>
    <col min="4" max="4" width="9" style="336" customWidth="1"/>
    <col min="5" max="5" width="16.375" style="336" customWidth="1"/>
    <col min="6" max="6" width="16.875" style="337" customWidth="1"/>
    <col min="7" max="7" width="17.125" style="338" customWidth="1"/>
    <col min="8" max="8" width="14.875" style="339" customWidth="1"/>
    <col min="9" max="9" width="18.625" customWidth="1"/>
    <col min="10" max="10" width="16.875" customWidth="1"/>
    <col min="11" max="11" width="14.875" customWidth="1"/>
    <col min="12" max="12" width="9.5" style="507" customWidth="1"/>
    <col min="13" max="13" width="13.125" style="507" customWidth="1"/>
    <col min="14" max="14" width="15.375" style="340" customWidth="1"/>
    <col min="16" max="16" width="16" customWidth="1"/>
  </cols>
  <sheetData>
    <row r="1" spans="1:14" ht="30.95" customHeight="1">
      <c r="A1" s="699" t="s">
        <v>202</v>
      </c>
      <c r="B1" s="699"/>
      <c r="C1" s="699"/>
      <c r="D1" s="699"/>
      <c r="E1" s="699"/>
      <c r="F1" s="700"/>
      <c r="G1" s="700"/>
      <c r="H1" s="699"/>
      <c r="I1" s="699"/>
      <c r="J1" s="699"/>
      <c r="K1" s="699"/>
      <c r="L1" s="720"/>
      <c r="M1" s="720"/>
      <c r="N1" s="702"/>
    </row>
    <row r="2" spans="1:14" s="322" customFormat="1" ht="30.95" customHeight="1">
      <c r="A2" s="703" t="s">
        <v>1</v>
      </c>
      <c r="B2" s="703"/>
      <c r="C2" s="703"/>
      <c r="D2" s="341" t="s">
        <v>4</v>
      </c>
      <c r="E2" s="342" t="s">
        <v>73</v>
      </c>
      <c r="F2" s="490" t="s">
        <v>74</v>
      </c>
      <c r="G2" s="490" t="s">
        <v>7</v>
      </c>
      <c r="H2" s="344" t="s">
        <v>75</v>
      </c>
      <c r="I2" s="345" t="s">
        <v>76</v>
      </c>
      <c r="J2" s="492" t="s">
        <v>75</v>
      </c>
      <c r="K2" s="493" t="s">
        <v>77</v>
      </c>
      <c r="L2" s="508" t="s">
        <v>78</v>
      </c>
      <c r="M2" s="508" t="s">
        <v>79</v>
      </c>
      <c r="N2" s="346" t="s">
        <v>80</v>
      </c>
    </row>
    <row r="3" spans="1:14" ht="30.95" customHeight="1">
      <c r="A3" s="634" t="s">
        <v>81</v>
      </c>
      <c r="B3" s="688" t="s">
        <v>82</v>
      </c>
      <c r="C3" s="689"/>
      <c r="D3" s="347" t="s">
        <v>15</v>
      </c>
      <c r="E3" s="348">
        <f>威高广场1月实际!I3</f>
        <v>9617216.9499999993</v>
      </c>
      <c r="F3" s="348">
        <v>9150810.0700000003</v>
      </c>
      <c r="G3" s="348">
        <v>9150810.0700000003</v>
      </c>
      <c r="H3" s="58">
        <f t="shared" ref="H3:H14" si="0">F3/$F$6</f>
        <v>0.62316884306745002</v>
      </c>
      <c r="I3" s="348">
        <v>9361815.3300000001</v>
      </c>
      <c r="J3" s="349">
        <f>I3/$I$15</f>
        <v>0.44703602934311798</v>
      </c>
      <c r="K3" s="349">
        <f>I3-G3</f>
        <v>211005.26</v>
      </c>
      <c r="L3" s="509">
        <f>I3/G3</f>
        <v>1.0230586427196999</v>
      </c>
      <c r="M3" s="509">
        <f>I3/F3</f>
        <v>1.0230586427196999</v>
      </c>
      <c r="N3" s="351">
        <f>G3/E3</f>
        <v>0.95150292621817201</v>
      </c>
    </row>
    <row r="4" spans="1:14" ht="30.95" customHeight="1">
      <c r="A4" s="634"/>
      <c r="B4" s="688" t="s">
        <v>83</v>
      </c>
      <c r="C4" s="689"/>
      <c r="D4" s="347" t="s">
        <v>18</v>
      </c>
      <c r="E4" s="348">
        <f>威高广场1月实际!I4</f>
        <v>3441935.94</v>
      </c>
      <c r="F4" s="348">
        <v>2946632.83</v>
      </c>
      <c r="G4" s="348">
        <v>2946632.83</v>
      </c>
      <c r="H4" s="58">
        <f t="shared" si="0"/>
        <v>0.20066526980334001</v>
      </c>
      <c r="I4" s="348">
        <v>3523589.04</v>
      </c>
      <c r="J4" s="349">
        <f t="shared" ref="J4:J34" si="1">I4/$I$15</f>
        <v>0.16825489479918301</v>
      </c>
      <c r="K4" s="349">
        <f t="shared" ref="K4:K34" si="2">I4-G4</f>
        <v>576956.21</v>
      </c>
      <c r="L4" s="509">
        <f t="shared" ref="L4:L34" si="3">I4/G4</f>
        <v>1.1958018671773201</v>
      </c>
      <c r="M4" s="509">
        <f t="shared" ref="M4:M34" si="4">I4/F4</f>
        <v>1.1958018671773201</v>
      </c>
      <c r="N4" s="351">
        <f t="shared" ref="N4:N34" si="5">G4/E4</f>
        <v>0.85609752225661695</v>
      </c>
    </row>
    <row r="5" spans="1:14" ht="30.95" customHeight="1">
      <c r="A5" s="634"/>
      <c r="B5" s="688" t="s">
        <v>84</v>
      </c>
      <c r="C5" s="689"/>
      <c r="D5" s="347" t="s">
        <v>20</v>
      </c>
      <c r="E5" s="348">
        <f>威高广场1月实际!I5</f>
        <v>2563456.5099999998</v>
      </c>
      <c r="F5" s="348">
        <v>2586876.08</v>
      </c>
      <c r="G5" s="348">
        <v>2586876.08</v>
      </c>
      <c r="H5" s="58">
        <f t="shared" si="0"/>
        <v>0.17616588712921</v>
      </c>
      <c r="I5" s="348">
        <v>2484040.39</v>
      </c>
      <c r="J5" s="349">
        <f t="shared" si="1"/>
        <v>0.11861540882087999</v>
      </c>
      <c r="K5" s="349">
        <f t="shared" si="2"/>
        <v>-102835.69</v>
      </c>
      <c r="L5" s="509">
        <f t="shared" si="3"/>
        <v>0.96024715261969595</v>
      </c>
      <c r="M5" s="509">
        <f t="shared" si="4"/>
        <v>0.96024715261969595</v>
      </c>
      <c r="N5" s="351">
        <f t="shared" si="5"/>
        <v>1.0091359342000299</v>
      </c>
    </row>
    <row r="6" spans="1:14" ht="30.95" customHeight="1">
      <c r="A6" s="634"/>
      <c r="B6" s="693" t="s">
        <v>85</v>
      </c>
      <c r="C6" s="694"/>
      <c r="D6" s="352"/>
      <c r="E6" s="86">
        <f>SUM(E3:E5)</f>
        <v>15622609.4</v>
      </c>
      <c r="F6" s="357">
        <f>SUM(F3:F5)</f>
        <v>14684318.98</v>
      </c>
      <c r="G6" s="357">
        <f>SUM(G3:G5)</f>
        <v>14684318.98</v>
      </c>
      <c r="H6" s="88">
        <f t="shared" si="0"/>
        <v>1</v>
      </c>
      <c r="I6" s="494">
        <f>SUM(I3:I5)</f>
        <v>15369444.76</v>
      </c>
      <c r="J6" s="494">
        <f t="shared" si="1"/>
        <v>0.73390633296318197</v>
      </c>
      <c r="K6" s="494">
        <f t="shared" si="2"/>
        <v>685125.77999999898</v>
      </c>
      <c r="L6" s="510">
        <f t="shared" si="3"/>
        <v>1.0466569665868199</v>
      </c>
      <c r="M6" s="510">
        <f t="shared" si="4"/>
        <v>1.0466569665868199</v>
      </c>
      <c r="N6" s="355">
        <f t="shared" si="5"/>
        <v>0.93994022407037803</v>
      </c>
    </row>
    <row r="7" spans="1:14" ht="30.95" customHeight="1">
      <c r="A7" s="634"/>
      <c r="B7" s="688" t="s">
        <v>86</v>
      </c>
      <c r="C7" s="689"/>
      <c r="D7" s="347" t="s">
        <v>87</v>
      </c>
      <c r="E7" s="348">
        <f>威高广场1月实际!I7</f>
        <v>984634</v>
      </c>
      <c r="F7" s="356">
        <v>1347000</v>
      </c>
      <c r="G7" s="356">
        <v>1347000</v>
      </c>
      <c r="H7" s="58">
        <f t="shared" si="0"/>
        <v>9.1730505298516701E-2</v>
      </c>
      <c r="I7" s="348">
        <v>1101803</v>
      </c>
      <c r="J7" s="349">
        <f t="shared" si="1"/>
        <v>5.2612193348865799E-2</v>
      </c>
      <c r="K7" s="349">
        <f t="shared" si="2"/>
        <v>-245197</v>
      </c>
      <c r="L7" s="509">
        <f t="shared" si="3"/>
        <v>0.81796807720861198</v>
      </c>
      <c r="M7" s="509">
        <f t="shared" si="4"/>
        <v>0.81796807720861198</v>
      </c>
      <c r="N7" s="351">
        <f t="shared" si="5"/>
        <v>1.36802101085276</v>
      </c>
    </row>
    <row r="8" spans="1:14" ht="30.95" customHeight="1">
      <c r="A8" s="634"/>
      <c r="B8" s="695" t="s">
        <v>88</v>
      </c>
      <c r="C8" s="696"/>
      <c r="D8" s="347" t="s">
        <v>89</v>
      </c>
      <c r="E8" s="348">
        <f>威高广场1月实际!I8</f>
        <v>740873.15</v>
      </c>
      <c r="F8" s="356">
        <v>233700</v>
      </c>
      <c r="G8" s="356">
        <v>233700</v>
      </c>
      <c r="H8" s="58">
        <f t="shared" si="0"/>
        <v>1.59149362199431E-2</v>
      </c>
      <c r="I8" s="348">
        <v>-361009.67</v>
      </c>
      <c r="J8" s="349">
        <f t="shared" si="1"/>
        <v>-1.72385721938044E-2</v>
      </c>
      <c r="K8" s="349">
        <f t="shared" si="2"/>
        <v>-594709.67000000004</v>
      </c>
      <c r="L8" s="509">
        <f t="shared" si="3"/>
        <v>-1.5447568249893</v>
      </c>
      <c r="M8" s="509">
        <f t="shared" si="4"/>
        <v>-1.5447568249893</v>
      </c>
      <c r="N8" s="351">
        <f t="shared" si="5"/>
        <v>0.31543861455905098</v>
      </c>
    </row>
    <row r="9" spans="1:14" ht="38.1" customHeight="1">
      <c r="A9" s="634"/>
      <c r="B9" s="697" t="s">
        <v>90</v>
      </c>
      <c r="C9" s="698"/>
      <c r="D9" s="347" t="s">
        <v>91</v>
      </c>
      <c r="E9" s="348">
        <f>威高广场1月实际!I9</f>
        <v>358800</v>
      </c>
      <c r="F9" s="356">
        <v>473000</v>
      </c>
      <c r="G9" s="356">
        <v>473000</v>
      </c>
      <c r="H9" s="58">
        <f t="shared" si="0"/>
        <v>3.22112316304368E-2</v>
      </c>
      <c r="I9" s="348">
        <v>432600</v>
      </c>
      <c r="J9" s="349">
        <f t="shared" si="1"/>
        <v>2.0657081930907199E-2</v>
      </c>
      <c r="K9" s="349">
        <f t="shared" si="2"/>
        <v>-40400</v>
      </c>
      <c r="L9" s="509">
        <f t="shared" si="3"/>
        <v>0.91458773784355196</v>
      </c>
      <c r="M9" s="509">
        <f t="shared" si="4"/>
        <v>0.91458773784355196</v>
      </c>
      <c r="N9" s="351">
        <f t="shared" si="5"/>
        <v>1.31828316610925</v>
      </c>
    </row>
    <row r="10" spans="1:14" ht="30.95" customHeight="1">
      <c r="A10" s="634"/>
      <c r="B10" s="688" t="s">
        <v>92</v>
      </c>
      <c r="C10" s="689"/>
      <c r="D10" s="347" t="s">
        <v>93</v>
      </c>
      <c r="E10" s="348">
        <f>威高广场1月实际!I10</f>
        <v>434300</v>
      </c>
      <c r="F10" s="511">
        <v>459300</v>
      </c>
      <c r="G10" s="511">
        <v>459300</v>
      </c>
      <c r="H10" s="58">
        <f t="shared" si="0"/>
        <v>3.1278263610696903E-2</v>
      </c>
      <c r="I10" s="348">
        <v>433000</v>
      </c>
      <c r="J10" s="349">
        <f t="shared" si="1"/>
        <v>2.0676182330288499E-2</v>
      </c>
      <c r="K10" s="349">
        <f t="shared" si="2"/>
        <v>-26300</v>
      </c>
      <c r="L10" s="509">
        <f t="shared" si="3"/>
        <v>0.942738950576965</v>
      </c>
      <c r="M10" s="509">
        <f t="shared" si="4"/>
        <v>0.942738950576965</v>
      </c>
      <c r="N10" s="351">
        <f t="shared" si="5"/>
        <v>1.05756389592448</v>
      </c>
    </row>
    <row r="11" spans="1:14" ht="30.95" customHeight="1">
      <c r="A11" s="634"/>
      <c r="B11" s="688" t="s">
        <v>94</v>
      </c>
      <c r="C11" s="689"/>
      <c r="D11" s="347" t="s">
        <v>95</v>
      </c>
      <c r="E11" s="348">
        <f>威高广场1月实际!I11</f>
        <v>492433.89</v>
      </c>
      <c r="F11" s="356">
        <v>492433.89</v>
      </c>
      <c r="G11" s="356">
        <v>492433.89</v>
      </c>
      <c r="H11" s="58">
        <f t="shared" si="0"/>
        <v>3.3534676730374302E-2</v>
      </c>
      <c r="I11" s="348">
        <v>492433.57</v>
      </c>
      <c r="J11" s="349">
        <f t="shared" si="1"/>
        <v>2.35141946394339E-2</v>
      </c>
      <c r="K11" s="349">
        <f t="shared" si="2"/>
        <v>-0.32000000000698497</v>
      </c>
      <c r="L11" s="509">
        <f t="shared" si="3"/>
        <v>0.99999935016657804</v>
      </c>
      <c r="M11" s="509">
        <f t="shared" si="4"/>
        <v>0.99999935016657804</v>
      </c>
      <c r="N11" s="351">
        <f t="shared" si="5"/>
        <v>1</v>
      </c>
    </row>
    <row r="12" spans="1:14" ht="30.95" customHeight="1">
      <c r="A12" s="634"/>
      <c r="B12" s="688" t="s">
        <v>96</v>
      </c>
      <c r="C12" s="689"/>
      <c r="D12" s="347" t="s">
        <v>97</v>
      </c>
      <c r="E12" s="348">
        <f>威高广场1月实际!I12</f>
        <v>2206885</v>
      </c>
      <c r="F12" s="356">
        <v>1916800</v>
      </c>
      <c r="G12" s="356">
        <v>2219654</v>
      </c>
      <c r="H12" s="58">
        <f t="shared" si="0"/>
        <v>0.130533802937043</v>
      </c>
      <c r="I12" s="348">
        <v>2473684</v>
      </c>
      <c r="J12" s="349">
        <f t="shared" si="1"/>
        <v>0.118120880858008</v>
      </c>
      <c r="K12" s="349">
        <f t="shared" si="2"/>
        <v>254030</v>
      </c>
      <c r="L12" s="509">
        <f t="shared" si="3"/>
        <v>1.1144457649705799</v>
      </c>
      <c r="M12" s="509">
        <f t="shared" si="4"/>
        <v>1.29052796327212</v>
      </c>
      <c r="N12" s="351">
        <f t="shared" si="5"/>
        <v>1.0057859834110101</v>
      </c>
    </row>
    <row r="13" spans="1:14" ht="38.1" customHeight="1">
      <c r="A13" s="634"/>
      <c r="B13" s="688" t="s">
        <v>98</v>
      </c>
      <c r="C13" s="689"/>
      <c r="D13" s="347" t="s">
        <v>99</v>
      </c>
      <c r="E13" s="348">
        <v>219600</v>
      </c>
      <c r="F13" s="356">
        <v>176300</v>
      </c>
      <c r="G13" s="356">
        <v>176300</v>
      </c>
      <c r="H13" s="58">
        <f t="shared" si="0"/>
        <v>1.20060045167992E-2</v>
      </c>
      <c r="I13" s="348">
        <v>221700</v>
      </c>
      <c r="J13" s="349">
        <f t="shared" si="1"/>
        <v>1.0586396357101501E-2</v>
      </c>
      <c r="K13" s="349">
        <f t="shared" si="2"/>
        <v>45400</v>
      </c>
      <c r="L13" s="509">
        <f t="shared" si="3"/>
        <v>1.2575155984118001</v>
      </c>
      <c r="M13" s="509">
        <f t="shared" si="4"/>
        <v>1.2575155984118001</v>
      </c>
      <c r="N13" s="351">
        <f t="shared" si="5"/>
        <v>0.802823315118397</v>
      </c>
    </row>
    <row r="14" spans="1:14" ht="38.1" customHeight="1">
      <c r="A14" s="634"/>
      <c r="B14" s="688" t="s">
        <v>100</v>
      </c>
      <c r="C14" s="689"/>
      <c r="D14" s="347" t="s">
        <v>101</v>
      </c>
      <c r="E14" s="348">
        <f>威高广场1月实际!I14</f>
        <v>76299.27</v>
      </c>
      <c r="F14" s="356">
        <v>696354.12664173997</v>
      </c>
      <c r="G14" s="356">
        <v>696354.12664173997</v>
      </c>
      <c r="H14" s="58">
        <f t="shared" si="0"/>
        <v>4.7421615370121802E-2</v>
      </c>
      <c r="I14" s="348">
        <v>778314.82</v>
      </c>
      <c r="J14" s="349">
        <f t="shared" si="1"/>
        <v>3.7165309766017798E-2</v>
      </c>
      <c r="K14" s="349">
        <f t="shared" si="2"/>
        <v>81960.693358260702</v>
      </c>
      <c r="L14" s="509">
        <f t="shared" si="3"/>
        <v>1.11769973095949</v>
      </c>
      <c r="M14" s="509">
        <f t="shared" si="4"/>
        <v>1.11769973095949</v>
      </c>
      <c r="N14" s="351">
        <f t="shared" si="5"/>
        <v>9.1266158462818794</v>
      </c>
    </row>
    <row r="15" spans="1:14" ht="30.95" customHeight="1">
      <c r="A15" s="690" t="s">
        <v>102</v>
      </c>
      <c r="B15" s="691"/>
      <c r="C15" s="692"/>
      <c r="D15" s="352" t="s">
        <v>103</v>
      </c>
      <c r="E15" s="495">
        <f>SUM(E6:E14)</f>
        <v>21136434.710000001</v>
      </c>
      <c r="F15" s="357">
        <f>SUM(F6:F14)</f>
        <v>20479206.996641699</v>
      </c>
      <c r="G15" s="357">
        <f>SUM(G6:G14)</f>
        <v>20782060.996641699</v>
      </c>
      <c r="H15" s="88"/>
      <c r="I15" s="87">
        <f>SUM(I6:I14)</f>
        <v>20941970.48</v>
      </c>
      <c r="J15" s="494"/>
      <c r="K15" s="494">
        <f t="shared" si="2"/>
        <v>159909.48335826001</v>
      </c>
      <c r="L15" s="510">
        <f t="shared" si="3"/>
        <v>1.0076945921477201</v>
      </c>
      <c r="M15" s="510">
        <f t="shared" si="4"/>
        <v>1.0225967481765399</v>
      </c>
      <c r="N15" s="355">
        <f t="shared" si="5"/>
        <v>0.98323398821890196</v>
      </c>
    </row>
    <row r="16" spans="1:14" ht="30.95" hidden="1" customHeight="1">
      <c r="A16" s="359"/>
      <c r="B16" s="360" t="s">
        <v>104</v>
      </c>
      <c r="C16" s="361"/>
      <c r="D16" s="362"/>
      <c r="E16" s="362"/>
      <c r="F16" s="363"/>
      <c r="G16" s="364"/>
      <c r="H16" s="58"/>
      <c r="I16" s="512"/>
      <c r="J16" s="349">
        <f t="shared" si="1"/>
        <v>0</v>
      </c>
      <c r="K16" s="349">
        <f t="shared" si="2"/>
        <v>0</v>
      </c>
      <c r="L16" s="509" t="e">
        <f t="shared" si="3"/>
        <v>#DIV/0!</v>
      </c>
      <c r="M16" s="509" t="e">
        <f t="shared" si="4"/>
        <v>#DIV/0!</v>
      </c>
      <c r="N16" s="351" t="e">
        <f t="shared" si="5"/>
        <v>#DIV/0!</v>
      </c>
    </row>
    <row r="17" spans="1:17" ht="30.95" customHeight="1">
      <c r="A17" s="635" t="s">
        <v>105</v>
      </c>
      <c r="B17" s="686" t="s">
        <v>106</v>
      </c>
      <c r="C17" s="687"/>
      <c r="D17" s="366" t="s">
        <v>37</v>
      </c>
      <c r="E17" s="498">
        <f>威高广场1月实际!I17</f>
        <v>8982059.4900000002</v>
      </c>
      <c r="F17" s="356">
        <v>9456669</v>
      </c>
      <c r="G17" s="356">
        <v>9456669</v>
      </c>
      <c r="H17" s="58">
        <f t="shared" ref="H17:H34" si="6">G17/$G$15</f>
        <v>0.455039998271978</v>
      </c>
      <c r="I17" s="356">
        <v>9456669</v>
      </c>
      <c r="J17" s="349">
        <f t="shared" si="1"/>
        <v>0.45156538679258001</v>
      </c>
      <c r="K17" s="349">
        <f t="shared" si="2"/>
        <v>0</v>
      </c>
      <c r="L17" s="509">
        <f t="shared" si="3"/>
        <v>1</v>
      </c>
      <c r="M17" s="509">
        <f t="shared" si="4"/>
        <v>1</v>
      </c>
      <c r="N17" s="351">
        <f t="shared" si="5"/>
        <v>1.0528397201697901</v>
      </c>
    </row>
    <row r="18" spans="1:17" ht="30.95" customHeight="1">
      <c r="A18" s="636"/>
      <c r="B18" s="686" t="s">
        <v>107</v>
      </c>
      <c r="C18" s="687"/>
      <c r="D18" s="366" t="s">
        <v>39</v>
      </c>
      <c r="E18" s="498">
        <f>威高广场1月实际!I18</f>
        <v>1931025</v>
      </c>
      <c r="F18" s="356">
        <v>1916800</v>
      </c>
      <c r="G18" s="356">
        <v>2014569</v>
      </c>
      <c r="H18" s="58">
        <f t="shared" si="6"/>
        <v>9.6937883125525606E-2</v>
      </c>
      <c r="I18" s="348">
        <v>1990574</v>
      </c>
      <c r="J18" s="349">
        <f t="shared" si="1"/>
        <v>9.5051895995223498E-2</v>
      </c>
      <c r="K18" s="349">
        <f t="shared" si="2"/>
        <v>-23995</v>
      </c>
      <c r="L18" s="509">
        <f t="shared" si="3"/>
        <v>0.98808926375815398</v>
      </c>
      <c r="M18" s="509">
        <f t="shared" si="4"/>
        <v>1.0384881051752901</v>
      </c>
      <c r="N18" s="351">
        <f t="shared" si="5"/>
        <v>1.0432640696003399</v>
      </c>
    </row>
    <row r="19" spans="1:17" ht="30.95" customHeight="1">
      <c r="A19" s="636"/>
      <c r="B19" s="686" t="s">
        <v>108</v>
      </c>
      <c r="C19" s="687"/>
      <c r="D19" s="366" t="s">
        <v>109</v>
      </c>
      <c r="E19" s="498">
        <f>威高广场1月实际!I19</f>
        <v>1633812</v>
      </c>
      <c r="F19" s="356">
        <v>1847200</v>
      </c>
      <c r="G19" s="356">
        <v>1605300</v>
      </c>
      <c r="H19" s="58">
        <f t="shared" si="6"/>
        <v>7.7244504299135999E-2</v>
      </c>
      <c r="I19" s="348">
        <v>1137393</v>
      </c>
      <c r="J19" s="349">
        <f t="shared" si="1"/>
        <v>5.4311651383819499E-2</v>
      </c>
      <c r="K19" s="349">
        <f t="shared" si="2"/>
        <v>-467907</v>
      </c>
      <c r="L19" s="509">
        <f t="shared" si="3"/>
        <v>0.70852364044103899</v>
      </c>
      <c r="M19" s="509">
        <f t="shared" si="4"/>
        <v>0.61573895625812003</v>
      </c>
      <c r="N19" s="351">
        <f t="shared" si="5"/>
        <v>0.98254878774302101</v>
      </c>
    </row>
    <row r="20" spans="1:17" ht="30.95" customHeight="1">
      <c r="A20" s="636"/>
      <c r="B20" s="686" t="s">
        <v>110</v>
      </c>
      <c r="C20" s="687"/>
      <c r="D20" s="366" t="s">
        <v>111</v>
      </c>
      <c r="E20" s="498">
        <f>威高广场1月实际!I20</f>
        <v>566899.39</v>
      </c>
      <c r="F20" s="356">
        <v>265182.5</v>
      </c>
      <c r="G20" s="356">
        <v>335182.5</v>
      </c>
      <c r="H20" s="58">
        <f t="shared" si="6"/>
        <v>1.6128453287388701E-2</v>
      </c>
      <c r="I20" s="348">
        <v>496596.85</v>
      </c>
      <c r="J20" s="349">
        <f t="shared" si="1"/>
        <v>2.3712995416274699E-2</v>
      </c>
      <c r="K20" s="349">
        <f t="shared" si="2"/>
        <v>161414.35</v>
      </c>
      <c r="L20" s="509">
        <f t="shared" si="3"/>
        <v>1.48157153192664</v>
      </c>
      <c r="M20" s="509">
        <f t="shared" si="4"/>
        <v>1.8726607147907599</v>
      </c>
      <c r="N20" s="351">
        <f t="shared" si="5"/>
        <v>0.59125570764858304</v>
      </c>
    </row>
    <row r="21" spans="1:17" ht="30.95" customHeight="1">
      <c r="A21" s="636"/>
      <c r="B21" s="686" t="s">
        <v>112</v>
      </c>
      <c r="C21" s="687"/>
      <c r="D21" s="367" t="s">
        <v>113</v>
      </c>
      <c r="E21" s="498">
        <f>威高广场1月实际!I21</f>
        <v>517775.66</v>
      </c>
      <c r="F21" s="513">
        <v>520448.66</v>
      </c>
      <c r="G21" s="513">
        <v>520448.66</v>
      </c>
      <c r="H21" s="58">
        <f t="shared" si="6"/>
        <v>2.50431687253782E-2</v>
      </c>
      <c r="I21" s="348">
        <v>520448.66</v>
      </c>
      <c r="J21" s="349">
        <f t="shared" si="1"/>
        <v>2.4851943158693601E-2</v>
      </c>
      <c r="K21" s="349">
        <f t="shared" si="2"/>
        <v>0</v>
      </c>
      <c r="L21" s="509">
        <f t="shared" si="3"/>
        <v>1</v>
      </c>
      <c r="M21" s="509">
        <f t="shared" si="4"/>
        <v>1</v>
      </c>
      <c r="N21" s="351">
        <f t="shared" si="5"/>
        <v>1.00516246746709</v>
      </c>
    </row>
    <row r="22" spans="1:17" ht="30.95" customHeight="1">
      <c r="A22" s="636"/>
      <c r="B22" s="686" t="s">
        <v>114</v>
      </c>
      <c r="C22" s="687"/>
      <c r="D22" s="367" t="s">
        <v>115</v>
      </c>
      <c r="E22" s="498">
        <f>威高广场1月实际!I22</f>
        <v>200122</v>
      </c>
      <c r="F22" s="356">
        <v>291720</v>
      </c>
      <c r="G22" s="356">
        <v>221500</v>
      </c>
      <c r="H22" s="58">
        <f t="shared" si="6"/>
        <v>1.06582306748014E-2</v>
      </c>
      <c r="I22" s="348">
        <v>123336</v>
      </c>
      <c r="J22" s="349">
        <f t="shared" si="1"/>
        <v>5.8894171452389503E-3</v>
      </c>
      <c r="K22" s="349">
        <f t="shared" si="2"/>
        <v>-98164</v>
      </c>
      <c r="L22" s="509">
        <f t="shared" si="3"/>
        <v>0.55682167042889397</v>
      </c>
      <c r="M22" s="509">
        <f t="shared" si="4"/>
        <v>0.42278897573015201</v>
      </c>
      <c r="N22" s="351">
        <f t="shared" si="5"/>
        <v>1.1068248368495199</v>
      </c>
    </row>
    <row r="23" spans="1:17" ht="30.95" customHeight="1">
      <c r="A23" s="636"/>
      <c r="B23" s="686" t="s">
        <v>116</v>
      </c>
      <c r="C23" s="687"/>
      <c r="D23" s="367" t="s">
        <v>117</v>
      </c>
      <c r="E23" s="498">
        <f>威高广场1月实际!I23</f>
        <v>210429</v>
      </c>
      <c r="F23" s="356">
        <v>210429</v>
      </c>
      <c r="G23" s="356">
        <v>210429</v>
      </c>
      <c r="H23" s="58">
        <f t="shared" si="6"/>
        <v>1.01255116147529E-2</v>
      </c>
      <c r="I23" s="348">
        <v>195211.06</v>
      </c>
      <c r="J23" s="349">
        <f t="shared" si="1"/>
        <v>9.3215230241313896E-3</v>
      </c>
      <c r="K23" s="349">
        <f t="shared" si="2"/>
        <v>-15217.94</v>
      </c>
      <c r="L23" s="509">
        <f t="shared" si="3"/>
        <v>0.92768135570667498</v>
      </c>
      <c r="M23" s="509">
        <f t="shared" si="4"/>
        <v>0.92768135570667498</v>
      </c>
      <c r="N23" s="351">
        <f t="shared" si="5"/>
        <v>1</v>
      </c>
    </row>
    <row r="24" spans="1:17" ht="30.95" customHeight="1">
      <c r="A24" s="636"/>
      <c r="B24" s="684" t="s">
        <v>118</v>
      </c>
      <c r="C24" s="687"/>
      <c r="D24" s="367" t="s">
        <v>119</v>
      </c>
      <c r="E24" s="498">
        <f>威高广场1月实际!I24</f>
        <v>0</v>
      </c>
      <c r="F24" s="356">
        <v>101546</v>
      </c>
      <c r="G24" s="356">
        <v>101546</v>
      </c>
      <c r="H24" s="58">
        <f t="shared" si="6"/>
        <v>4.8862333729272197E-3</v>
      </c>
      <c r="I24" s="348">
        <v>101546</v>
      </c>
      <c r="J24" s="349">
        <f t="shared" si="1"/>
        <v>4.84892288894106E-3</v>
      </c>
      <c r="K24" s="349">
        <f t="shared" si="2"/>
        <v>0</v>
      </c>
      <c r="L24" s="509">
        <f t="shared" si="3"/>
        <v>1</v>
      </c>
      <c r="M24" s="509">
        <f t="shared" si="4"/>
        <v>1</v>
      </c>
      <c r="N24" s="351"/>
    </row>
    <row r="25" spans="1:17" ht="30.95" customHeight="1">
      <c r="A25" s="636"/>
      <c r="B25" s="686" t="s">
        <v>120</v>
      </c>
      <c r="C25" s="687"/>
      <c r="D25" s="367" t="s">
        <v>121</v>
      </c>
      <c r="E25" s="498">
        <f>威高广场1月实际!I25</f>
        <v>18000</v>
      </c>
      <c r="F25" s="356">
        <v>50509.68</v>
      </c>
      <c r="G25" s="356">
        <v>50509.68</v>
      </c>
      <c r="H25" s="58">
        <f t="shared" si="6"/>
        <v>2.4304461433426699E-3</v>
      </c>
      <c r="I25" s="348">
        <v>0</v>
      </c>
      <c r="J25" s="349">
        <f t="shared" si="1"/>
        <v>0</v>
      </c>
      <c r="K25" s="349">
        <f t="shared" si="2"/>
        <v>-50509.68</v>
      </c>
      <c r="L25" s="509">
        <f t="shared" si="3"/>
        <v>0</v>
      </c>
      <c r="M25" s="509">
        <f t="shared" si="4"/>
        <v>0</v>
      </c>
      <c r="N25" s="351">
        <f t="shared" si="5"/>
        <v>2.80609333333333</v>
      </c>
    </row>
    <row r="26" spans="1:17" ht="30.95" customHeight="1">
      <c r="A26" s="636"/>
      <c r="B26" s="684" t="s">
        <v>122</v>
      </c>
      <c r="C26" s="685"/>
      <c r="D26" s="367" t="s">
        <v>123</v>
      </c>
      <c r="E26" s="498">
        <f>威高广场1月实际!I26</f>
        <v>67200</v>
      </c>
      <c r="F26" s="356">
        <v>67200</v>
      </c>
      <c r="G26" s="356">
        <v>67200</v>
      </c>
      <c r="H26" s="58">
        <f t="shared" si="6"/>
        <v>3.2335580196237099E-3</v>
      </c>
      <c r="I26" s="348">
        <v>55900</v>
      </c>
      <c r="J26" s="349">
        <f t="shared" si="1"/>
        <v>2.6692808135407101E-3</v>
      </c>
      <c r="K26" s="349">
        <f t="shared" si="2"/>
        <v>-11300</v>
      </c>
      <c r="L26" s="509">
        <f t="shared" si="3"/>
        <v>0.83184523809523803</v>
      </c>
      <c r="M26" s="509">
        <f t="shared" si="4"/>
        <v>0.83184523809523803</v>
      </c>
      <c r="N26" s="351">
        <f t="shared" si="5"/>
        <v>1</v>
      </c>
      <c r="O26" s="514">
        <v>3927.02</v>
      </c>
      <c r="P26" s="514">
        <v>6848.63</v>
      </c>
      <c r="Q26" s="514">
        <v>46340.85</v>
      </c>
    </row>
    <row r="27" spans="1:17" ht="30.95" customHeight="1">
      <c r="A27" s="636"/>
      <c r="B27" s="684" t="s">
        <v>244</v>
      </c>
      <c r="C27" s="685"/>
      <c r="D27" s="367" t="s">
        <v>124</v>
      </c>
      <c r="E27" s="498">
        <f>威高广场1月实际!I27</f>
        <v>33758.47</v>
      </c>
      <c r="F27" s="356">
        <v>33200</v>
      </c>
      <c r="G27" s="356">
        <v>33200</v>
      </c>
      <c r="H27" s="58">
        <f t="shared" si="6"/>
        <v>1.59753164064743E-3</v>
      </c>
      <c r="I27" s="348">
        <v>57116.5</v>
      </c>
      <c r="J27" s="349">
        <f t="shared" si="1"/>
        <v>2.7273699031591801E-3</v>
      </c>
      <c r="K27" s="349">
        <f t="shared" si="2"/>
        <v>23916.5</v>
      </c>
      <c r="L27" s="509">
        <f t="shared" si="3"/>
        <v>1.7203765060241001</v>
      </c>
      <c r="M27" s="509">
        <f t="shared" si="4"/>
        <v>1.7203765060241001</v>
      </c>
      <c r="N27" s="351">
        <f t="shared" si="5"/>
        <v>0.98345689244802903</v>
      </c>
    </row>
    <row r="28" spans="1:17" ht="30.95" customHeight="1">
      <c r="A28" s="636"/>
      <c r="B28" s="686" t="s">
        <v>125</v>
      </c>
      <c r="C28" s="687"/>
      <c r="D28" s="367" t="s">
        <v>126</v>
      </c>
      <c r="E28" s="498">
        <f>威高广场1月实际!I28</f>
        <v>4523.38</v>
      </c>
      <c r="F28" s="356">
        <v>27000</v>
      </c>
      <c r="G28" s="356">
        <v>27000</v>
      </c>
      <c r="H28" s="58">
        <f t="shared" si="6"/>
        <v>1.2991974185988099E-3</v>
      </c>
      <c r="I28" s="348">
        <v>4397</v>
      </c>
      <c r="J28" s="349">
        <f t="shared" si="1"/>
        <v>2.0996114019925801E-4</v>
      </c>
      <c r="K28" s="349">
        <f t="shared" si="2"/>
        <v>-22603</v>
      </c>
      <c r="L28" s="509">
        <f t="shared" si="3"/>
        <v>0.162851851851852</v>
      </c>
      <c r="M28" s="509">
        <f t="shared" si="4"/>
        <v>0.162851851851852</v>
      </c>
      <c r="N28" s="351">
        <f t="shared" si="5"/>
        <v>5.9689877923146</v>
      </c>
    </row>
    <row r="29" spans="1:17" ht="30.95" customHeight="1">
      <c r="A29" s="636"/>
      <c r="B29" s="684" t="s">
        <v>245</v>
      </c>
      <c r="C29" s="685"/>
      <c r="D29" s="367" t="s">
        <v>127</v>
      </c>
      <c r="E29" s="498">
        <f>威高广场1月实际!I29</f>
        <v>30968.67</v>
      </c>
      <c r="F29" s="356">
        <v>37300</v>
      </c>
      <c r="G29" s="356">
        <v>37300</v>
      </c>
      <c r="H29" s="58">
        <f t="shared" si="6"/>
        <v>1.7948171745828E-3</v>
      </c>
      <c r="I29" s="348">
        <v>32165.97</v>
      </c>
      <c r="J29" s="349">
        <f t="shared" si="1"/>
        <v>1.53595718371961E-3</v>
      </c>
      <c r="K29" s="349">
        <f t="shared" si="2"/>
        <v>-5134.03</v>
      </c>
      <c r="L29" s="509">
        <f t="shared" si="3"/>
        <v>0.86235844504021497</v>
      </c>
      <c r="M29" s="509">
        <f t="shared" si="4"/>
        <v>0.86235844504021497</v>
      </c>
      <c r="N29" s="351">
        <f t="shared" si="5"/>
        <v>1.20444307101338</v>
      </c>
    </row>
    <row r="30" spans="1:17" ht="30.95" customHeight="1">
      <c r="A30" s="636"/>
      <c r="B30" s="686" t="s">
        <v>128</v>
      </c>
      <c r="C30" s="687"/>
      <c r="D30" s="367" t="s">
        <v>129</v>
      </c>
      <c r="E30" s="498">
        <f>威高广场1月实际!I30</f>
        <v>4030.47</v>
      </c>
      <c r="F30" s="356">
        <v>800</v>
      </c>
      <c r="G30" s="356">
        <v>800</v>
      </c>
      <c r="H30" s="58">
        <f t="shared" si="6"/>
        <v>3.8494738328853698E-5</v>
      </c>
      <c r="I30" s="348">
        <v>0</v>
      </c>
      <c r="J30" s="349">
        <f t="shared" si="1"/>
        <v>0</v>
      </c>
      <c r="K30" s="349">
        <f t="shared" si="2"/>
        <v>-800</v>
      </c>
      <c r="L30" s="509">
        <f t="shared" si="3"/>
        <v>0</v>
      </c>
      <c r="M30" s="509">
        <f t="shared" si="4"/>
        <v>0</v>
      </c>
      <c r="N30" s="351">
        <f t="shared" si="5"/>
        <v>0.19848801752649201</v>
      </c>
    </row>
    <row r="31" spans="1:17" ht="30.95" customHeight="1">
      <c r="A31" s="636"/>
      <c r="B31" s="686" t="s">
        <v>130</v>
      </c>
      <c r="C31" s="687"/>
      <c r="D31" s="367" t="s">
        <v>131</v>
      </c>
      <c r="E31" s="498">
        <f>威高广场1月实际!I31</f>
        <v>2425.02</v>
      </c>
      <c r="F31" s="356">
        <v>14100</v>
      </c>
      <c r="G31" s="356">
        <v>14100</v>
      </c>
      <c r="H31" s="58">
        <f t="shared" si="6"/>
        <v>6.7846976304604596E-4</v>
      </c>
      <c r="I31" s="348">
        <v>1702</v>
      </c>
      <c r="J31" s="349">
        <f t="shared" si="1"/>
        <v>8.1272199367554506E-5</v>
      </c>
      <c r="K31" s="349">
        <f t="shared" si="2"/>
        <v>-12398</v>
      </c>
      <c r="L31" s="509">
        <f t="shared" si="3"/>
        <v>0.120709219858156</v>
      </c>
      <c r="M31" s="509">
        <f t="shared" si="4"/>
        <v>0.120709219858156</v>
      </c>
      <c r="N31" s="351">
        <f t="shared" si="5"/>
        <v>5.8143850359996998</v>
      </c>
    </row>
    <row r="32" spans="1:17" ht="30.95" customHeight="1">
      <c r="A32" s="636"/>
      <c r="B32" s="676" t="s">
        <v>203</v>
      </c>
      <c r="C32" s="677"/>
      <c r="D32" s="367" t="s">
        <v>133</v>
      </c>
      <c r="E32" s="498">
        <f>威高广场1月实际!I32</f>
        <v>13750.33</v>
      </c>
      <c r="F32" s="356">
        <v>3400</v>
      </c>
      <c r="G32" s="356">
        <v>3400</v>
      </c>
      <c r="H32" s="58">
        <f t="shared" si="6"/>
        <v>1.63602637897628E-4</v>
      </c>
      <c r="I32" s="348">
        <v>20064.060000000001</v>
      </c>
      <c r="J32" s="349">
        <f t="shared" si="1"/>
        <v>9.5807889802736505E-4</v>
      </c>
      <c r="K32" s="349">
        <f t="shared" si="2"/>
        <v>16664.060000000001</v>
      </c>
      <c r="L32" s="509">
        <f t="shared" si="3"/>
        <v>5.9011941176470604</v>
      </c>
      <c r="M32" s="509">
        <f t="shared" si="4"/>
        <v>5.9011941176470604</v>
      </c>
      <c r="N32" s="351">
        <f t="shared" si="5"/>
        <v>0.24726679286969799</v>
      </c>
    </row>
    <row r="33" spans="1:16" ht="30.95" customHeight="1">
      <c r="A33" s="636"/>
      <c r="B33" s="678" t="s">
        <v>134</v>
      </c>
      <c r="C33" s="679"/>
      <c r="D33" s="367" t="s">
        <v>135</v>
      </c>
      <c r="E33" s="498">
        <f>威高广场1月实际!I33</f>
        <v>8387</v>
      </c>
      <c r="F33" s="356">
        <v>8387</v>
      </c>
      <c r="G33" s="356">
        <v>8387</v>
      </c>
      <c r="H33" s="58">
        <f t="shared" si="6"/>
        <v>4.0356921295512001E-4</v>
      </c>
      <c r="I33" s="348">
        <v>8387</v>
      </c>
      <c r="J33" s="349">
        <f t="shared" si="1"/>
        <v>4.0048762402801398E-4</v>
      </c>
      <c r="K33" s="349">
        <f t="shared" si="2"/>
        <v>0</v>
      </c>
      <c r="L33" s="509">
        <f t="shared" si="3"/>
        <v>1</v>
      </c>
      <c r="M33" s="509">
        <f t="shared" si="4"/>
        <v>1</v>
      </c>
      <c r="N33" s="351">
        <f t="shared" si="5"/>
        <v>1</v>
      </c>
    </row>
    <row r="34" spans="1:16" ht="30.95" customHeight="1">
      <c r="A34" s="636"/>
      <c r="B34" s="678" t="s">
        <v>136</v>
      </c>
      <c r="C34" s="679"/>
      <c r="D34" s="367" t="s">
        <v>137</v>
      </c>
      <c r="E34" s="498">
        <f>威高广场1月实际!I34</f>
        <v>50890.9</v>
      </c>
      <c r="F34" s="356">
        <v>52897</v>
      </c>
      <c r="G34" s="356">
        <v>48150</v>
      </c>
      <c r="H34" s="58">
        <f t="shared" si="6"/>
        <v>2.3169020631678798E-3</v>
      </c>
      <c r="I34" s="348">
        <v>22788.9</v>
      </c>
      <c r="J34" s="349">
        <f t="shared" si="1"/>
        <v>1.0881927286529201E-3</v>
      </c>
      <c r="K34" s="349">
        <f t="shared" si="2"/>
        <v>-25361.1</v>
      </c>
      <c r="L34" s="509">
        <f t="shared" si="3"/>
        <v>0.473289719626168</v>
      </c>
      <c r="M34" s="509">
        <f t="shared" si="4"/>
        <v>0.43081649242868197</v>
      </c>
      <c r="N34" s="351">
        <f t="shared" si="5"/>
        <v>0.946141648113906</v>
      </c>
    </row>
    <row r="35" spans="1:16" ht="30.95" customHeight="1">
      <c r="A35" s="680" t="s">
        <v>30</v>
      </c>
      <c r="B35" s="680"/>
      <c r="C35" s="680"/>
      <c r="D35" s="369" t="s">
        <v>45</v>
      </c>
      <c r="E35" s="499">
        <f>SUM(E17:E34)</f>
        <v>14276056.779999999</v>
      </c>
      <c r="F35" s="370">
        <f>SUM(F17:F34)</f>
        <v>14904788.84</v>
      </c>
      <c r="G35" s="370">
        <f>SUM(G17:G34)</f>
        <v>14755690.84</v>
      </c>
      <c r="H35" s="371"/>
      <c r="I35" s="353">
        <f>SUM(I17:I34)</f>
        <v>14224296</v>
      </c>
      <c r="J35" s="353"/>
      <c r="K35" s="353"/>
      <c r="L35" s="510"/>
      <c r="M35" s="510"/>
      <c r="N35" s="372"/>
    </row>
    <row r="36" spans="1:16" ht="30.95" customHeight="1">
      <c r="A36" s="681" t="s">
        <v>138</v>
      </c>
      <c r="B36" s="682"/>
      <c r="C36" s="683"/>
      <c r="D36" s="373" t="s">
        <v>139</v>
      </c>
      <c r="E36" s="373">
        <f>E15-E35</f>
        <v>6860377.9299999997</v>
      </c>
      <c r="F36" s="370">
        <f>F15-F35</f>
        <v>5574418.1566417404</v>
      </c>
      <c r="G36" s="370">
        <f>G15-G35</f>
        <v>6026370.1566417404</v>
      </c>
      <c r="H36" s="374"/>
      <c r="I36" s="353">
        <f>I15-I35</f>
        <v>6717674.4800000004</v>
      </c>
      <c r="J36" s="375"/>
      <c r="K36" s="353"/>
      <c r="L36" s="510"/>
      <c r="M36" s="510"/>
      <c r="N36" s="372"/>
    </row>
    <row r="37" spans="1:16" ht="30.95" customHeight="1">
      <c r="A37" s="637" t="s">
        <v>140</v>
      </c>
      <c r="B37" s="642" t="s">
        <v>141</v>
      </c>
      <c r="C37" s="347" t="s">
        <v>142</v>
      </c>
      <c r="D37" s="347" t="s">
        <v>143</v>
      </c>
      <c r="E37" s="347">
        <v>263</v>
      </c>
      <c r="F37" s="356">
        <f>'2月时间实际 '!B18</f>
        <v>260</v>
      </c>
      <c r="G37" s="356">
        <v>260</v>
      </c>
      <c r="H37" s="58"/>
      <c r="I37" s="349">
        <v>261</v>
      </c>
      <c r="J37" s="376"/>
      <c r="K37" s="349">
        <f t="shared" ref="K37:K48" si="7">I37-G37</f>
        <v>1</v>
      </c>
      <c r="L37" s="509">
        <f t="shared" ref="L37:L43" si="8">I37/G37</f>
        <v>1.0038461538461538</v>
      </c>
      <c r="M37" s="509">
        <f t="shared" ref="M37:M43" si="9">I37/F37</f>
        <v>1.0038461538461538</v>
      </c>
      <c r="N37" s="377"/>
    </row>
    <row r="38" spans="1:16" ht="30.95" customHeight="1">
      <c r="A38" s="638"/>
      <c r="B38" s="643"/>
      <c r="C38" s="347" t="s">
        <v>144</v>
      </c>
      <c r="D38" s="347" t="s">
        <v>145</v>
      </c>
      <c r="E38" s="347">
        <v>0</v>
      </c>
      <c r="F38" s="356">
        <v>0</v>
      </c>
      <c r="G38" s="378">
        <v>0</v>
      </c>
      <c r="H38" s="58"/>
      <c r="I38" s="349">
        <v>0</v>
      </c>
      <c r="J38" s="376"/>
      <c r="K38" s="349">
        <f t="shared" si="7"/>
        <v>0</v>
      </c>
      <c r="L38" s="509" t="e">
        <f t="shared" si="8"/>
        <v>#DIV/0!</v>
      </c>
      <c r="M38" s="509" t="e">
        <f t="shared" si="9"/>
        <v>#DIV/0!</v>
      </c>
      <c r="N38" s="377"/>
    </row>
    <row r="39" spans="1:16" ht="30.95" customHeight="1">
      <c r="A39" s="638"/>
      <c r="B39" s="644"/>
      <c r="C39" s="347" t="s">
        <v>146</v>
      </c>
      <c r="D39" s="347" t="s">
        <v>147</v>
      </c>
      <c r="E39" s="347">
        <f t="shared" ref="E39:G39" si="10">SUM(E37:E38)</f>
        <v>263</v>
      </c>
      <c r="F39" s="356">
        <f t="shared" si="10"/>
        <v>260</v>
      </c>
      <c r="G39" s="356">
        <f t="shared" si="10"/>
        <v>260</v>
      </c>
      <c r="H39" s="58"/>
      <c r="I39" s="349">
        <f>SUM(I37:I38)</f>
        <v>261</v>
      </c>
      <c r="J39" s="379"/>
      <c r="K39" s="349">
        <f t="shared" si="7"/>
        <v>1</v>
      </c>
      <c r="L39" s="509">
        <f t="shared" si="8"/>
        <v>1.0038461538461538</v>
      </c>
      <c r="M39" s="509">
        <f t="shared" si="9"/>
        <v>1.0038461538461538</v>
      </c>
      <c r="N39" s="377"/>
    </row>
    <row r="40" spans="1:16" ht="30.95" customHeight="1">
      <c r="A40" s="638"/>
      <c r="B40" s="642" t="s">
        <v>148</v>
      </c>
      <c r="C40" s="380" t="s">
        <v>149</v>
      </c>
      <c r="D40" s="347" t="s">
        <v>150</v>
      </c>
      <c r="E40" s="406">
        <f>威高广场1月实际!I40</f>
        <v>47174.5</v>
      </c>
      <c r="F40" s="356">
        <f>'2月时间实际 '!C18</f>
        <v>40107</v>
      </c>
      <c r="G40" s="356">
        <f>'2月时间实际 '!C18</f>
        <v>40107</v>
      </c>
      <c r="H40" s="58"/>
      <c r="I40" s="349">
        <f>'2月时间实际 '!E18</f>
        <v>40616.5</v>
      </c>
      <c r="J40" s="379"/>
      <c r="K40" s="349">
        <f t="shared" si="7"/>
        <v>509.5</v>
      </c>
      <c r="L40" s="509">
        <f t="shared" si="8"/>
        <v>1.01270351808911</v>
      </c>
      <c r="M40" s="509">
        <f t="shared" si="9"/>
        <v>1.01270351808911</v>
      </c>
      <c r="N40" s="377"/>
    </row>
    <row r="41" spans="1:16" ht="30.95" customHeight="1">
      <c r="A41" s="638"/>
      <c r="B41" s="643"/>
      <c r="C41" s="380" t="s">
        <v>40</v>
      </c>
      <c r="D41" s="347" t="s">
        <v>151</v>
      </c>
      <c r="E41" s="406">
        <f>威高广场1月实际!I41</f>
        <v>4290.5</v>
      </c>
      <c r="F41" s="356">
        <f>'2月时间实际 '!D18</f>
        <v>4373</v>
      </c>
      <c r="G41" s="356">
        <f>'2月时间实际 '!D18</f>
        <v>4373</v>
      </c>
      <c r="H41" s="58"/>
      <c r="I41" s="349">
        <f>'2月时间实际 '!F18</f>
        <v>4150</v>
      </c>
      <c r="J41" s="379"/>
      <c r="K41" s="349">
        <f t="shared" si="7"/>
        <v>-223</v>
      </c>
      <c r="L41" s="509">
        <f t="shared" si="8"/>
        <v>0.94900525954722204</v>
      </c>
      <c r="M41" s="509">
        <f t="shared" si="9"/>
        <v>0.94900525954722204</v>
      </c>
      <c r="N41" s="377"/>
    </row>
    <row r="42" spans="1:16" ht="30.95" customHeight="1">
      <c r="A42" s="639"/>
      <c r="B42" s="644"/>
      <c r="C42" s="347" t="s">
        <v>152</v>
      </c>
      <c r="D42" s="381" t="s">
        <v>153</v>
      </c>
      <c r="E42" s="406">
        <f>SUM(E40:E41)</f>
        <v>51465</v>
      </c>
      <c r="F42" s="356">
        <f t="shared" ref="F42:G42" si="11">SUM(F40:F41)</f>
        <v>44480</v>
      </c>
      <c r="G42" s="356">
        <f t="shared" si="11"/>
        <v>44480</v>
      </c>
      <c r="H42" s="58"/>
      <c r="I42" s="349">
        <f>SUM(I40:I41)</f>
        <v>44766.5</v>
      </c>
      <c r="J42" s="349"/>
      <c r="K42" s="349">
        <f t="shared" si="7"/>
        <v>286.5</v>
      </c>
      <c r="L42" s="509">
        <f t="shared" si="8"/>
        <v>1.0064410971222999</v>
      </c>
      <c r="M42" s="509">
        <f t="shared" si="9"/>
        <v>1.0064410971222999</v>
      </c>
      <c r="N42" s="377"/>
    </row>
    <row r="43" spans="1:16" ht="30.95" customHeight="1">
      <c r="A43" s="382" t="s">
        <v>154</v>
      </c>
      <c r="B43" s="383"/>
      <c r="C43" s="384"/>
      <c r="D43" s="385" t="s">
        <v>155</v>
      </c>
      <c r="E43" s="500">
        <f>E36/E42</f>
        <v>133.30181540853008</v>
      </c>
      <c r="F43" s="386">
        <f>F36/F42</f>
        <v>125.324149205075</v>
      </c>
      <c r="G43" s="386">
        <f>G36/G42</f>
        <v>135.48494057198201</v>
      </c>
      <c r="H43" s="387"/>
      <c r="I43" s="388">
        <f>I36/I42</f>
        <v>150.06030134140499</v>
      </c>
      <c r="J43" s="388"/>
      <c r="K43" s="388">
        <f t="shared" si="7"/>
        <v>14.5753607694233</v>
      </c>
      <c r="L43" s="510">
        <f t="shared" si="8"/>
        <v>1.10757919446907</v>
      </c>
      <c r="M43" s="510">
        <f t="shared" si="9"/>
        <v>1.19737737932577</v>
      </c>
      <c r="N43" s="390"/>
    </row>
    <row r="44" spans="1:16" ht="41.85" customHeight="1">
      <c r="A44" s="640" t="s">
        <v>156</v>
      </c>
      <c r="B44" s="668" t="s">
        <v>157</v>
      </c>
      <c r="C44" s="669"/>
      <c r="D44" s="391" t="s">
        <v>158</v>
      </c>
      <c r="E44" s="501">
        <f>威高广场1月实际!I44</f>
        <v>1290223.5349999999</v>
      </c>
      <c r="F44" s="356">
        <v>1683656</v>
      </c>
      <c r="G44" s="356">
        <v>1262580.26</v>
      </c>
      <c r="H44" s="392"/>
      <c r="I44" s="348">
        <v>1473933.4450000001</v>
      </c>
      <c r="J44" s="393"/>
      <c r="K44" s="348">
        <f t="shared" si="7"/>
        <v>211353.185</v>
      </c>
      <c r="L44" s="509"/>
      <c r="M44" s="509"/>
      <c r="N44" s="396"/>
    </row>
    <row r="45" spans="1:16" ht="30.95" customHeight="1">
      <c r="A45" s="640"/>
      <c r="B45" s="670" t="s">
        <v>159</v>
      </c>
      <c r="C45" s="671"/>
      <c r="D45" s="391"/>
      <c r="E45" s="391">
        <f>威高广场1月实际!I45</f>
        <v>18000</v>
      </c>
      <c r="F45" s="356">
        <v>50509.68</v>
      </c>
      <c r="G45" s="356">
        <v>50509.68</v>
      </c>
      <c r="H45" s="392"/>
      <c r="I45" s="348">
        <v>0</v>
      </c>
      <c r="J45" s="393"/>
      <c r="K45" s="348">
        <f t="shared" si="7"/>
        <v>-50509.68</v>
      </c>
      <c r="L45" s="509"/>
      <c r="M45" s="509"/>
      <c r="N45" s="396"/>
    </row>
    <row r="46" spans="1:16" ht="39.950000000000003" customHeight="1">
      <c r="A46" s="641"/>
      <c r="B46" s="672" t="s">
        <v>160</v>
      </c>
      <c r="C46" s="673"/>
      <c r="D46" s="391" t="s">
        <v>158</v>
      </c>
      <c r="E46" s="502">
        <f>威高广场1月实际!I46</f>
        <v>16694200</v>
      </c>
      <c r="F46" s="397">
        <v>14908110.9391098</v>
      </c>
      <c r="G46" s="397">
        <v>14908110.9391098</v>
      </c>
      <c r="H46" s="398"/>
      <c r="I46" s="348">
        <v>15746300</v>
      </c>
      <c r="J46" s="394"/>
      <c r="K46" s="348">
        <f t="shared" si="7"/>
        <v>838189.06089019997</v>
      </c>
      <c r="L46" s="509">
        <f>I46/G46</f>
        <v>1.0562236935527001</v>
      </c>
      <c r="M46" s="509">
        <f>I46/F46</f>
        <v>1.0562236935527001</v>
      </c>
      <c r="N46" s="515">
        <f>G46/E46</f>
        <v>0.89301140151129099</v>
      </c>
      <c r="P46" s="399"/>
    </row>
    <row r="47" spans="1:16" ht="39.950000000000003" customHeight="1">
      <c r="A47" s="641"/>
      <c r="B47" s="672" t="s">
        <v>161</v>
      </c>
      <c r="C47" s="674"/>
      <c r="D47" s="391" t="s">
        <v>158</v>
      </c>
      <c r="E47" s="503">
        <f>威高广场1月实际!I47</f>
        <v>106620000</v>
      </c>
      <c r="F47" s="400">
        <v>146129813.725095</v>
      </c>
      <c r="G47" s="400">
        <v>146129813.725095</v>
      </c>
      <c r="H47" s="398"/>
      <c r="I47" s="348">
        <v>148820000</v>
      </c>
      <c r="J47" s="394"/>
      <c r="K47" s="348">
        <f t="shared" si="7"/>
        <v>2690186.2749049999</v>
      </c>
      <c r="L47" s="509">
        <f>I47/G47</f>
        <v>1.01840956479946</v>
      </c>
      <c r="M47" s="509">
        <f>I47/F47</f>
        <v>1.01840956479946</v>
      </c>
      <c r="N47" s="515">
        <f>G47/E47</f>
        <v>1.3705666265718901</v>
      </c>
    </row>
    <row r="48" spans="1:16" ht="39.950000000000003" customHeight="1">
      <c r="A48" s="641"/>
      <c r="B48" s="668" t="s">
        <v>162</v>
      </c>
      <c r="C48" s="675"/>
      <c r="D48" s="391" t="s">
        <v>158</v>
      </c>
      <c r="E48" s="504">
        <v>2.8999999999999998E-3</v>
      </c>
      <c r="F48" s="401">
        <v>0.01</v>
      </c>
      <c r="G48" s="401">
        <v>0.01</v>
      </c>
      <c r="H48" s="398"/>
      <c r="I48" s="348">
        <v>5.0000000000000001E-3</v>
      </c>
      <c r="J48" s="394"/>
      <c r="K48" s="348">
        <f t="shared" si="7"/>
        <v>-5.0000000000000001E-3</v>
      </c>
      <c r="L48" s="509">
        <f>I48/G48</f>
        <v>0.5</v>
      </c>
      <c r="M48" s="509">
        <f>I48/F48</f>
        <v>0.5</v>
      </c>
      <c r="N48" s="515">
        <f>F48/E48</f>
        <v>3.4482758620689702</v>
      </c>
    </row>
    <row r="49" spans="1:13" ht="30.95" customHeight="1">
      <c r="A49" s="651" t="s">
        <v>163</v>
      </c>
      <c r="B49" s="652"/>
      <c r="C49" s="652"/>
      <c r="D49" s="652"/>
      <c r="E49" s="652"/>
      <c r="F49" s="653"/>
      <c r="G49" s="654"/>
      <c r="H49" s="719"/>
      <c r="I49" s="402"/>
      <c r="J49" s="402"/>
      <c r="K49" s="402"/>
      <c r="L49" s="516"/>
      <c r="M49" s="516"/>
    </row>
    <row r="50" spans="1:13" ht="30.95" customHeight="1">
      <c r="A50" s="645" t="s">
        <v>164</v>
      </c>
      <c r="B50" s="646"/>
      <c r="C50" s="647"/>
      <c r="D50" s="347" t="s">
        <v>165</v>
      </c>
      <c r="E50" s="356">
        <v>1702226.96</v>
      </c>
      <c r="F50" s="356">
        <v>1689152.65</v>
      </c>
      <c r="G50" s="356">
        <v>2290753.31</v>
      </c>
      <c r="H50" s="517"/>
      <c r="I50" s="356">
        <v>2263772.73</v>
      </c>
      <c r="J50" s="272"/>
      <c r="K50" s="272"/>
      <c r="L50" s="518"/>
      <c r="M50" s="518"/>
    </row>
    <row r="51" spans="1:13" ht="30.95" customHeight="1">
      <c r="A51" s="648"/>
      <c r="B51" s="649"/>
      <c r="C51" s="650"/>
      <c r="D51" s="347" t="s">
        <v>166</v>
      </c>
      <c r="E51" s="356">
        <v>303202.8</v>
      </c>
      <c r="F51" s="356">
        <v>302000</v>
      </c>
      <c r="G51" s="356">
        <v>302000</v>
      </c>
      <c r="H51" s="517"/>
      <c r="I51" s="356">
        <v>291837.59999999998</v>
      </c>
      <c r="J51" s="272"/>
      <c r="K51" s="272"/>
      <c r="L51" s="518"/>
      <c r="M51" s="518"/>
    </row>
    <row r="52" spans="1:13" ht="30.95" customHeight="1">
      <c r="A52" s="648"/>
      <c r="B52" s="649"/>
      <c r="C52" s="650"/>
      <c r="D52" s="347" t="s">
        <v>167</v>
      </c>
      <c r="E52" s="356">
        <v>35352.300000000003</v>
      </c>
      <c r="F52" s="356">
        <v>35200</v>
      </c>
      <c r="G52" s="356">
        <v>35200</v>
      </c>
      <c r="H52" s="517"/>
      <c r="I52" s="356">
        <v>34291</v>
      </c>
      <c r="J52" s="272"/>
      <c r="K52" s="272"/>
      <c r="L52" s="518"/>
      <c r="M52" s="518"/>
    </row>
    <row r="53" spans="1:13" ht="30.95" customHeight="1">
      <c r="A53" s="648"/>
      <c r="B53" s="649"/>
      <c r="C53" s="650"/>
      <c r="D53" s="347" t="s">
        <v>168</v>
      </c>
      <c r="E53" s="356">
        <v>3500</v>
      </c>
      <c r="F53" s="356">
        <v>0</v>
      </c>
      <c r="G53" s="356">
        <v>0</v>
      </c>
      <c r="H53" s="517"/>
      <c r="I53" s="348">
        <v>0</v>
      </c>
      <c r="J53" s="272"/>
      <c r="K53" s="272"/>
      <c r="L53" s="518"/>
      <c r="M53" s="518"/>
    </row>
    <row r="54" spans="1:13" ht="30.95" customHeight="1">
      <c r="A54" s="648"/>
      <c r="B54" s="649"/>
      <c r="C54" s="650"/>
      <c r="D54" s="347" t="s">
        <v>169</v>
      </c>
      <c r="E54" s="356">
        <v>82143.17</v>
      </c>
      <c r="F54" s="356">
        <v>365000</v>
      </c>
      <c r="G54" s="356">
        <v>365000</v>
      </c>
      <c r="H54" s="517"/>
      <c r="I54" s="348">
        <v>354388.7</v>
      </c>
      <c r="J54" s="272"/>
      <c r="K54" s="272"/>
      <c r="L54" s="518"/>
      <c r="M54" s="518"/>
    </row>
    <row r="55" spans="1:13" ht="30.95" customHeight="1">
      <c r="A55" s="648"/>
      <c r="B55" s="649"/>
      <c r="C55" s="650"/>
      <c r="D55" s="347" t="s">
        <v>170</v>
      </c>
      <c r="E55" s="347">
        <v>172</v>
      </c>
      <c r="F55" s="356">
        <v>0</v>
      </c>
      <c r="G55" s="356">
        <v>0</v>
      </c>
      <c r="H55" s="404"/>
      <c r="I55" s="348">
        <v>0</v>
      </c>
      <c r="J55" s="272"/>
      <c r="K55" s="272"/>
      <c r="L55" s="518"/>
      <c r="M55" s="518"/>
    </row>
    <row r="56" spans="1:13" ht="30.95" customHeight="1">
      <c r="A56" s="656" t="s">
        <v>171</v>
      </c>
      <c r="B56" s="657"/>
      <c r="C56" s="658"/>
      <c r="D56" s="406" t="s">
        <v>172</v>
      </c>
      <c r="E56" s="406"/>
      <c r="F56" s="356">
        <f>SUM(F50:F54)</f>
        <v>2391352.65</v>
      </c>
      <c r="G56" s="356">
        <f>SUM(G50:G54)</f>
        <v>2992953.31</v>
      </c>
      <c r="H56" s="404"/>
      <c r="I56" s="407"/>
      <c r="J56" s="272"/>
      <c r="K56" s="272"/>
      <c r="L56" s="518"/>
      <c r="M56" s="518"/>
    </row>
    <row r="57" spans="1:13" ht="30.95" customHeight="1">
      <c r="A57" s="659" t="s">
        <v>173</v>
      </c>
      <c r="B57" s="660"/>
      <c r="C57" s="661"/>
      <c r="D57" s="347" t="s">
        <v>174</v>
      </c>
      <c r="E57" s="347"/>
      <c r="F57" s="356">
        <f>F50/F42</f>
        <v>37.975554181654701</v>
      </c>
      <c r="G57" s="356">
        <f>G50/G42</f>
        <v>51.500748875899298</v>
      </c>
      <c r="H57" s="404"/>
      <c r="I57" s="348">
        <f>I56/I42</f>
        <v>0</v>
      </c>
      <c r="J57" s="272"/>
      <c r="K57" s="272"/>
      <c r="L57" s="518"/>
      <c r="M57" s="518"/>
    </row>
    <row r="58" spans="1:13" ht="30.95" hidden="1" customHeight="1">
      <c r="A58" s="662" t="s">
        <v>64</v>
      </c>
      <c r="B58" s="663"/>
      <c r="C58" s="664"/>
      <c r="D58" s="519" t="s">
        <v>175</v>
      </c>
      <c r="E58" s="519"/>
      <c r="F58" s="520"/>
      <c r="G58" s="521"/>
      <c r="H58" s="350"/>
      <c r="I58" s="405"/>
      <c r="J58" s="405"/>
      <c r="K58" s="405"/>
      <c r="L58" s="518"/>
      <c r="M58" s="518"/>
    </row>
    <row r="59" spans="1:13" ht="30.95" hidden="1" customHeight="1">
      <c r="A59" s="665" t="s">
        <v>67</v>
      </c>
      <c r="B59" s="666"/>
      <c r="C59" s="667"/>
      <c r="D59" s="522" t="s">
        <v>176</v>
      </c>
      <c r="E59" s="522"/>
      <c r="F59" s="523"/>
      <c r="G59" s="521"/>
      <c r="H59" s="350"/>
      <c r="I59" s="405"/>
      <c r="J59" s="405"/>
      <c r="K59" s="405"/>
      <c r="L59" s="518"/>
      <c r="M59" s="518"/>
    </row>
    <row r="60" spans="1:13" ht="30.95" hidden="1" customHeight="1">
      <c r="A60" s="625" t="s">
        <v>177</v>
      </c>
      <c r="B60" s="626"/>
      <c r="C60" s="627"/>
      <c r="D60" s="524" t="s">
        <v>178</v>
      </c>
      <c r="E60" s="524"/>
      <c r="F60" s="525"/>
      <c r="G60" s="521"/>
      <c r="H60" s="350"/>
      <c r="I60" s="405"/>
      <c r="J60" s="405"/>
      <c r="K60" s="405"/>
      <c r="L60" s="518"/>
      <c r="M60" s="518"/>
    </row>
    <row r="61" spans="1:13" ht="30.95" hidden="1" customHeight="1">
      <c r="A61" s="628" t="s">
        <v>179</v>
      </c>
      <c r="B61" s="629"/>
      <c r="C61" s="630"/>
      <c r="D61" s="526" t="s">
        <v>180</v>
      </c>
      <c r="E61" s="526"/>
      <c r="F61" s="527"/>
      <c r="G61" s="521"/>
      <c r="H61" s="350"/>
      <c r="I61" s="405"/>
      <c r="J61" s="405"/>
      <c r="K61" s="405"/>
      <c r="L61" s="518"/>
      <c r="M61" s="518"/>
    </row>
    <row r="62" spans="1:13" ht="30.95" hidden="1" customHeight="1">
      <c r="A62" s="631" t="s">
        <v>181</v>
      </c>
      <c r="B62" s="632"/>
      <c r="C62" s="633"/>
      <c r="D62" s="362"/>
      <c r="E62" s="362"/>
      <c r="F62" s="528"/>
      <c r="G62" s="521"/>
      <c r="H62" s="350"/>
      <c r="I62" s="405"/>
      <c r="J62" s="405"/>
      <c r="K62" s="405"/>
      <c r="L62" s="518"/>
      <c r="M62" s="518"/>
    </row>
  </sheetData>
  <sheetProtection formatCells="0" formatColumns="0" formatRows="0" insertColumns="0" insertRows="0" insertHyperlinks="0" deleteColumns="0" deleteRows="0" sort="0" autoFilter="0" pivotTables="0"/>
  <mergeCells count="55">
    <mergeCell ref="A1:N1"/>
    <mergeCell ref="A2:C2"/>
    <mergeCell ref="B3:C3"/>
    <mergeCell ref="B4:C4"/>
    <mergeCell ref="B5:C5"/>
    <mergeCell ref="B6:C6"/>
    <mergeCell ref="B7:C7"/>
    <mergeCell ref="B8:C8"/>
    <mergeCell ref="B9:C9"/>
    <mergeCell ref="B10:C10"/>
    <mergeCell ref="B11:C11"/>
    <mergeCell ref="B12:C12"/>
    <mergeCell ref="B13:C13"/>
    <mergeCell ref="B14:C14"/>
    <mergeCell ref="A15:C15"/>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45:C45"/>
    <mergeCell ref="B46:C46"/>
    <mergeCell ref="B47:C47"/>
    <mergeCell ref="B48:C48"/>
    <mergeCell ref="B32:C32"/>
    <mergeCell ref="B33:C33"/>
    <mergeCell ref="B34:C34"/>
    <mergeCell ref="A35:C35"/>
    <mergeCell ref="A36:C36"/>
    <mergeCell ref="A60:C60"/>
    <mergeCell ref="A61:C61"/>
    <mergeCell ref="A62:C62"/>
    <mergeCell ref="A3:A14"/>
    <mergeCell ref="A17:A34"/>
    <mergeCell ref="A37:A42"/>
    <mergeCell ref="A44:A48"/>
    <mergeCell ref="B37:B39"/>
    <mergeCell ref="B40:B42"/>
    <mergeCell ref="A50:C55"/>
    <mergeCell ref="A49:H49"/>
    <mergeCell ref="A56:C56"/>
    <mergeCell ref="A57:C57"/>
    <mergeCell ref="A58:C58"/>
    <mergeCell ref="A59:C59"/>
    <mergeCell ref="B44:C44"/>
  </mergeCells>
  <phoneticPr fontId="54" type="noConversion"/>
  <pageMargins left="0.75" right="0.75" top="1" bottom="1" header="0.5" footer="0.5"/>
  <pageSetup paperSize="8"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topLeftCell="A5" workbookViewId="0">
      <selection activeCell="B19" sqref="B19"/>
    </sheetView>
  </sheetViews>
  <sheetFormatPr defaultColWidth="9.625" defaultRowHeight="13.5"/>
  <cols>
    <col min="1" max="1" width="18" customWidth="1"/>
    <col min="2" max="2" width="13.375" style="322" customWidth="1"/>
    <col min="3" max="3" width="13.875" customWidth="1"/>
    <col min="4" max="4" width="10.625" customWidth="1"/>
    <col min="5" max="5" width="12.625" customWidth="1"/>
    <col min="6" max="6" width="18.875" customWidth="1"/>
  </cols>
  <sheetData>
    <row r="1" spans="1:6" ht="21" customHeight="1">
      <c r="A1" s="704" t="s">
        <v>204</v>
      </c>
      <c r="B1" s="705"/>
      <c r="C1" s="705"/>
      <c r="D1" s="705"/>
      <c r="E1" s="705"/>
      <c r="F1" s="721"/>
    </row>
    <row r="2" spans="1:6" ht="21" customHeight="1">
      <c r="A2" s="708" t="s">
        <v>183</v>
      </c>
      <c r="B2" s="709"/>
      <c r="C2" s="709"/>
      <c r="D2" s="709"/>
      <c r="E2" s="709"/>
      <c r="F2" s="722"/>
    </row>
    <row r="3" spans="1:6" ht="21" customHeight="1">
      <c r="A3" s="715" t="s">
        <v>184</v>
      </c>
      <c r="B3" s="323" t="s">
        <v>185</v>
      </c>
      <c r="C3" s="712" t="s">
        <v>185</v>
      </c>
      <c r="D3" s="712"/>
      <c r="E3" s="723" t="s">
        <v>186</v>
      </c>
      <c r="F3" s="724"/>
    </row>
    <row r="4" spans="1:6" ht="21" customHeight="1">
      <c r="A4" s="716"/>
      <c r="B4" s="324" t="s">
        <v>50</v>
      </c>
      <c r="C4" s="325" t="s">
        <v>149</v>
      </c>
      <c r="D4" s="325" t="s">
        <v>40</v>
      </c>
      <c r="E4" s="325" t="s">
        <v>149</v>
      </c>
      <c r="F4" s="325" t="s">
        <v>40</v>
      </c>
    </row>
    <row r="5" spans="1:6" ht="21" customHeight="1">
      <c r="A5" s="326" t="s">
        <v>187</v>
      </c>
      <c r="B5" s="483">
        <v>14</v>
      </c>
      <c r="C5" s="484">
        <v>1904</v>
      </c>
      <c r="D5" s="484">
        <v>130</v>
      </c>
      <c r="E5" s="484">
        <v>1904</v>
      </c>
      <c r="F5" s="484">
        <v>125.5</v>
      </c>
    </row>
    <row r="6" spans="1:6" ht="21" customHeight="1">
      <c r="A6" s="326" t="s">
        <v>188</v>
      </c>
      <c r="B6" s="483">
        <v>5</v>
      </c>
      <c r="C6" s="486">
        <v>680</v>
      </c>
      <c r="D6" s="484">
        <v>0</v>
      </c>
      <c r="E6" s="484">
        <v>708</v>
      </c>
      <c r="F6" s="484">
        <v>0</v>
      </c>
    </row>
    <row r="7" spans="1:6" ht="21" customHeight="1">
      <c r="A7" s="326" t="s">
        <v>189</v>
      </c>
      <c r="B7" s="483">
        <v>10</v>
      </c>
      <c r="C7" s="484">
        <v>1380</v>
      </c>
      <c r="D7" s="484">
        <v>272</v>
      </c>
      <c r="E7" s="484">
        <v>1432</v>
      </c>
      <c r="F7" s="484">
        <v>264</v>
      </c>
    </row>
    <row r="8" spans="1:6" ht="21" customHeight="1">
      <c r="A8" s="326" t="s">
        <v>190</v>
      </c>
      <c r="B8" s="483">
        <v>56</v>
      </c>
      <c r="C8" s="484">
        <v>7616</v>
      </c>
      <c r="D8" s="484">
        <v>100</v>
      </c>
      <c r="E8" s="484">
        <v>8268</v>
      </c>
      <c r="F8" s="484">
        <v>22.5</v>
      </c>
    </row>
    <row r="9" spans="1:6" ht="21" customHeight="1">
      <c r="A9" s="326" t="s">
        <v>191</v>
      </c>
      <c r="B9" s="483">
        <v>11</v>
      </c>
      <c r="C9" s="484">
        <v>1632</v>
      </c>
      <c r="D9" s="484">
        <v>0</v>
      </c>
      <c r="E9" s="484">
        <v>1428</v>
      </c>
      <c r="F9" s="484">
        <v>0</v>
      </c>
    </row>
    <row r="10" spans="1:6" ht="21" customHeight="1">
      <c r="A10" s="326" t="s">
        <v>192</v>
      </c>
      <c r="B10" s="483">
        <v>20</v>
      </c>
      <c r="C10" s="484">
        <v>2856</v>
      </c>
      <c r="D10" s="484">
        <v>0</v>
      </c>
      <c r="E10" s="484">
        <v>2912</v>
      </c>
      <c r="F10" s="484">
        <v>4</v>
      </c>
    </row>
    <row r="11" spans="1:6" ht="21" customHeight="1">
      <c r="A11" s="326" t="s">
        <v>100</v>
      </c>
      <c r="B11" s="483">
        <v>13</v>
      </c>
      <c r="C11" s="487">
        <v>3509</v>
      </c>
      <c r="D11" s="484">
        <v>0</v>
      </c>
      <c r="E11" s="484">
        <v>3204.5</v>
      </c>
      <c r="F11" s="484">
        <v>0</v>
      </c>
    </row>
    <row r="12" spans="1:6" ht="21" customHeight="1">
      <c r="A12" s="326" t="s">
        <v>193</v>
      </c>
      <c r="B12" s="483">
        <v>20</v>
      </c>
      <c r="C12" s="484">
        <v>3264</v>
      </c>
      <c r="D12" s="484">
        <v>0</v>
      </c>
      <c r="E12" s="484">
        <v>3200</v>
      </c>
      <c r="F12" s="484">
        <v>0</v>
      </c>
    </row>
    <row r="13" spans="1:6" ht="21" customHeight="1">
      <c r="A13" s="326" t="s">
        <v>194</v>
      </c>
      <c r="B13" s="483">
        <v>28</v>
      </c>
      <c r="C13" s="484">
        <v>4032</v>
      </c>
      <c r="D13" s="484">
        <v>0</v>
      </c>
      <c r="E13" s="484">
        <v>5064</v>
      </c>
      <c r="F13" s="484">
        <v>0</v>
      </c>
    </row>
    <row r="14" spans="1:6" ht="21" customHeight="1">
      <c r="A14" s="326" t="s">
        <v>195</v>
      </c>
      <c r="B14" s="483">
        <v>6</v>
      </c>
      <c r="C14" s="484">
        <v>816</v>
      </c>
      <c r="D14" s="484">
        <v>0</v>
      </c>
      <c r="E14" s="484">
        <v>816</v>
      </c>
      <c r="F14" s="484">
        <v>0</v>
      </c>
    </row>
    <row r="15" spans="1:6" ht="21" customHeight="1">
      <c r="A15" s="326" t="s">
        <v>196</v>
      </c>
      <c r="B15" s="483">
        <v>15</v>
      </c>
      <c r="C15" s="484">
        <v>2040</v>
      </c>
      <c r="D15" s="484">
        <v>0</v>
      </c>
      <c r="E15" s="484">
        <v>2096</v>
      </c>
      <c r="F15" s="484">
        <v>0</v>
      </c>
    </row>
    <row r="16" spans="1:6" ht="21" customHeight="1">
      <c r="A16" s="326" t="s">
        <v>197</v>
      </c>
      <c r="B16" s="483">
        <v>11</v>
      </c>
      <c r="C16" s="484">
        <v>1864</v>
      </c>
      <c r="D16" s="484">
        <v>557</v>
      </c>
      <c r="E16" s="484">
        <v>1736</v>
      </c>
      <c r="F16" s="484">
        <v>548</v>
      </c>
    </row>
    <row r="17" spans="1:6" ht="21" customHeight="1">
      <c r="A17" s="326" t="s">
        <v>198</v>
      </c>
      <c r="B17" s="483">
        <v>51</v>
      </c>
      <c r="C17" s="484">
        <v>8514</v>
      </c>
      <c r="D17" s="484">
        <v>3314</v>
      </c>
      <c r="E17" s="484">
        <v>7848</v>
      </c>
      <c r="F17" s="484">
        <v>3186</v>
      </c>
    </row>
    <row r="18" spans="1:6" ht="21" customHeight="1">
      <c r="A18" s="332" t="s">
        <v>199</v>
      </c>
      <c r="B18" s="333">
        <f>SUM(B5:B17)</f>
        <v>260</v>
      </c>
      <c r="C18" s="333">
        <f>SUM(C5:C17)</f>
        <v>40107</v>
      </c>
      <c r="D18" s="333">
        <f>SUM(D5:D17)</f>
        <v>4373</v>
      </c>
      <c r="E18" s="506">
        <f>SUM(E5:E17)</f>
        <v>40616.5</v>
      </c>
      <c r="F18" s="506">
        <f>SUM(F5:F17)</f>
        <v>4150</v>
      </c>
    </row>
    <row r="19" spans="1:6" ht="21" customHeight="1">
      <c r="A19" s="326" t="s">
        <v>19</v>
      </c>
      <c r="B19" s="483">
        <v>19</v>
      </c>
      <c r="C19" s="483">
        <v>2584</v>
      </c>
      <c r="D19" s="483">
        <v>408</v>
      </c>
      <c r="E19" s="484">
        <v>2558</v>
      </c>
      <c r="F19" s="484">
        <v>404</v>
      </c>
    </row>
    <row r="20" spans="1:6" ht="21" customHeight="1">
      <c r="A20" s="326" t="s">
        <v>16</v>
      </c>
      <c r="B20" s="483">
        <v>16</v>
      </c>
      <c r="C20" s="483">
        <v>2176</v>
      </c>
      <c r="D20" s="483">
        <v>476</v>
      </c>
      <c r="E20" s="484">
        <v>2192</v>
      </c>
      <c r="F20" s="484">
        <v>782</v>
      </c>
    </row>
    <row r="21" spans="1:6" ht="21" customHeight="1">
      <c r="A21" s="335" t="s">
        <v>200</v>
      </c>
      <c r="B21" s="333">
        <f>SUM(B18:B20)</f>
        <v>295</v>
      </c>
      <c r="C21" s="333">
        <f>SUM(C18:C20)</f>
        <v>44867</v>
      </c>
      <c r="D21" s="333">
        <f>SUM(D18:D20)</f>
        <v>5257</v>
      </c>
      <c r="E21" s="484">
        <f>SUM(E18:E20)</f>
        <v>45366.5</v>
      </c>
      <c r="F21" s="484">
        <f>SUM(F18:F20)</f>
        <v>5336</v>
      </c>
    </row>
    <row r="22" spans="1:6" ht="30.95" customHeight="1"/>
  </sheetData>
  <sheetProtection formatCells="0" formatColumns="0" formatRows="0" insertColumns="0" insertRows="0" insertHyperlinks="0" deleteColumns="0" deleteRows="0" sort="0" autoFilter="0" pivotTables="0"/>
  <mergeCells count="5">
    <mergeCell ref="A1:F1"/>
    <mergeCell ref="A2:F2"/>
    <mergeCell ref="C3:D3"/>
    <mergeCell ref="E3:F3"/>
    <mergeCell ref="A3:A4"/>
  </mergeCells>
  <phoneticPr fontId="54" type="noConversion"/>
  <pageMargins left="0.75" right="0.75" top="1" bottom="1" header="0.5" footer="0.5"/>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4"/>
  <sheetViews>
    <sheetView topLeftCell="A4" workbookViewId="0">
      <selection activeCell="G5" sqref="G5"/>
    </sheetView>
  </sheetViews>
  <sheetFormatPr defaultColWidth="9.375" defaultRowHeight="26.1" customHeight="1"/>
  <cols>
    <col min="1" max="1" width="19.625" style="411" customWidth="1"/>
    <col min="2" max="2" width="4.875" style="412" customWidth="1"/>
    <col min="3" max="3" width="20" style="413" customWidth="1"/>
    <col min="4" max="4" width="24" style="414" customWidth="1"/>
    <col min="5" max="5" width="18.375" style="414" customWidth="1"/>
    <col min="6" max="6" width="21" style="410" customWidth="1"/>
    <col min="7" max="7" width="16.625" style="410" customWidth="1"/>
    <col min="8" max="8" width="12.625" style="415" customWidth="1"/>
    <col min="9" max="9" width="19" style="410" customWidth="1"/>
    <col min="10" max="10" width="12.25" style="410" customWidth="1"/>
    <col min="11" max="14" width="19" style="410" customWidth="1"/>
    <col min="15" max="16384" width="9.375" style="410"/>
  </cols>
  <sheetData>
    <row r="1" spans="1:14" s="409" customFormat="1" ht="39.950000000000003" customHeight="1">
      <c r="A1" s="618" t="s">
        <v>205</v>
      </c>
      <c r="B1" s="618"/>
      <c r="C1" s="619"/>
      <c r="D1" s="618"/>
      <c r="E1" s="618"/>
      <c r="F1" s="618"/>
      <c r="G1" s="618"/>
      <c r="H1" s="620"/>
      <c r="I1" s="618"/>
      <c r="J1" s="618"/>
      <c r="K1" s="618"/>
      <c r="L1" s="618"/>
      <c r="M1" s="618"/>
    </row>
    <row r="2" spans="1:14" s="409" customFormat="1" ht="42" customHeight="1">
      <c r="A2" s="416" t="s">
        <v>1</v>
      </c>
      <c r="B2" s="417" t="s">
        <v>2</v>
      </c>
      <c r="C2" s="418" t="s">
        <v>3</v>
      </c>
      <c r="D2" s="419" t="s">
        <v>4</v>
      </c>
      <c r="E2" s="419" t="s">
        <v>206</v>
      </c>
      <c r="F2" s="420" t="s">
        <v>6</v>
      </c>
      <c r="G2" s="421" t="s">
        <v>7</v>
      </c>
      <c r="H2" s="422" t="s">
        <v>8</v>
      </c>
      <c r="I2" s="423" t="s">
        <v>9</v>
      </c>
      <c r="J2" s="424" t="s">
        <v>8</v>
      </c>
      <c r="K2" s="424" t="s">
        <v>10</v>
      </c>
      <c r="L2" s="425" t="s">
        <v>11</v>
      </c>
      <c r="M2" s="426" t="s">
        <v>12</v>
      </c>
      <c r="N2" s="427" t="s">
        <v>13</v>
      </c>
    </row>
    <row r="3" spans="1:14" s="409" customFormat="1" ht="26.1" customHeight="1">
      <c r="A3" s="623" t="s">
        <v>14</v>
      </c>
      <c r="B3" s="428" t="s">
        <v>15</v>
      </c>
      <c r="C3" s="429" t="s">
        <v>16</v>
      </c>
      <c r="D3" s="430" t="s">
        <v>17</v>
      </c>
      <c r="E3" s="431">
        <f>商管公司2月实际!J3</f>
        <v>445312.86</v>
      </c>
      <c r="F3" s="431">
        <v>495614.47</v>
      </c>
      <c r="G3" s="431">
        <v>495614.47</v>
      </c>
      <c r="H3" s="432">
        <f>G3/$G$6</f>
        <v>2.2206448847469199E-2</v>
      </c>
      <c r="I3" s="431"/>
      <c r="J3" s="433"/>
      <c r="K3" s="431"/>
      <c r="L3" s="434"/>
      <c r="M3" s="435"/>
      <c r="N3" s="436">
        <f t="shared" ref="N3:N11" si="0">F3/E3</f>
        <v>1.1129579100859599</v>
      </c>
    </row>
    <row r="4" spans="1:14" s="409" customFormat="1" ht="26.1" customHeight="1">
      <c r="A4" s="623"/>
      <c r="B4" s="428" t="s">
        <v>18</v>
      </c>
      <c r="C4" s="429" t="s">
        <v>19</v>
      </c>
      <c r="D4" s="430" t="s">
        <v>17</v>
      </c>
      <c r="E4" s="431">
        <f>商管公司2月实际!J4</f>
        <v>522043.76</v>
      </c>
      <c r="F4" s="431">
        <v>447221</v>
      </c>
      <c r="G4" s="431">
        <v>447221</v>
      </c>
      <c r="H4" s="432">
        <f t="shared" ref="H4:H9" si="1">G4/$G$6</f>
        <v>2.00381362150585E-2</v>
      </c>
      <c r="I4" s="431"/>
      <c r="J4" s="433"/>
      <c r="K4" s="431"/>
      <c r="L4" s="434"/>
      <c r="M4" s="435"/>
      <c r="N4" s="436">
        <f t="shared" si="0"/>
        <v>0.85667339458285996</v>
      </c>
    </row>
    <row r="5" spans="1:14" s="409" customFormat="1" ht="26.1" customHeight="1">
      <c r="A5" s="623"/>
      <c r="B5" s="428" t="s">
        <v>20</v>
      </c>
      <c r="C5" s="429" t="s">
        <v>21</v>
      </c>
      <c r="D5" s="430" t="s">
        <v>17</v>
      </c>
      <c r="E5" s="431">
        <f>商管公司2月实际!J5</f>
        <v>20941970.48</v>
      </c>
      <c r="F5" s="431">
        <f>威高广场3月实际!F15</f>
        <v>21396500.387829602</v>
      </c>
      <c r="G5" s="431">
        <f>威高广场3月实际!G15</f>
        <v>21375657.387829602</v>
      </c>
      <c r="H5" s="432">
        <f t="shared" si="1"/>
        <v>0.95775541493747196</v>
      </c>
      <c r="I5" s="431"/>
      <c r="J5" s="433"/>
      <c r="K5" s="431"/>
      <c r="L5" s="434"/>
      <c r="M5" s="435"/>
      <c r="N5" s="436">
        <f t="shared" si="0"/>
        <v>1.0217042569257599</v>
      </c>
    </row>
    <row r="6" spans="1:14" s="409" customFormat="1" ht="26.1" customHeight="1">
      <c r="A6" s="437"/>
      <c r="B6" s="438" t="s">
        <v>22</v>
      </c>
      <c r="C6" s="439" t="s">
        <v>23</v>
      </c>
      <c r="D6" s="440" t="s">
        <v>24</v>
      </c>
      <c r="E6" s="441">
        <f>SUM(E3:E5)</f>
        <v>21909327.100000001</v>
      </c>
      <c r="F6" s="441">
        <f>SUM(F3:F5)</f>
        <v>22339335.857829601</v>
      </c>
      <c r="G6" s="441">
        <f>SUM(G3:G5)</f>
        <v>22318492.857829601</v>
      </c>
      <c r="H6" s="432"/>
      <c r="I6" s="443"/>
      <c r="J6" s="433"/>
      <c r="K6" s="431"/>
      <c r="L6" s="434"/>
      <c r="M6" s="435"/>
      <c r="N6" s="436">
        <f t="shared" si="0"/>
        <v>1.01962674416548</v>
      </c>
    </row>
    <row r="7" spans="1:14" s="409" customFormat="1" ht="26.1" customHeight="1">
      <c r="A7" s="617" t="s">
        <v>25</v>
      </c>
      <c r="B7" s="445" t="s">
        <v>26</v>
      </c>
      <c r="C7" s="429" t="s">
        <v>16</v>
      </c>
      <c r="D7" s="430" t="s">
        <v>17</v>
      </c>
      <c r="E7" s="431">
        <f>商管公司2月实际!J7</f>
        <v>163000</v>
      </c>
      <c r="F7" s="446">
        <v>133200</v>
      </c>
      <c r="G7" s="446">
        <v>133200</v>
      </c>
      <c r="H7" s="432">
        <f t="shared" si="1"/>
        <v>5.9681449302376099E-3</v>
      </c>
      <c r="I7" s="431"/>
      <c r="J7" s="433"/>
      <c r="K7" s="431"/>
      <c r="L7" s="434"/>
      <c r="M7" s="435"/>
      <c r="N7" s="436">
        <f t="shared" si="0"/>
        <v>0.81717791411042895</v>
      </c>
    </row>
    <row r="8" spans="1:14" s="409" customFormat="1" ht="26.1" customHeight="1">
      <c r="A8" s="617"/>
      <c r="B8" s="445" t="s">
        <v>27</v>
      </c>
      <c r="C8" s="429" t="s">
        <v>19</v>
      </c>
      <c r="D8" s="430" t="s">
        <v>17</v>
      </c>
      <c r="E8" s="431">
        <f>商管公司2月实际!J8</f>
        <v>411756</v>
      </c>
      <c r="F8" s="446">
        <v>320276</v>
      </c>
      <c r="G8" s="446">
        <v>320276</v>
      </c>
      <c r="H8" s="432">
        <f t="shared" si="1"/>
        <v>1.4350252144720599E-2</v>
      </c>
      <c r="I8" s="431"/>
      <c r="J8" s="433"/>
      <c r="K8" s="431"/>
      <c r="L8" s="434"/>
      <c r="M8" s="435"/>
      <c r="N8" s="436">
        <f t="shared" si="0"/>
        <v>0.777829588397012</v>
      </c>
    </row>
    <row r="9" spans="1:14" s="409" customFormat="1" ht="26.1" customHeight="1">
      <c r="A9" s="617"/>
      <c r="B9" s="445" t="s">
        <v>28</v>
      </c>
      <c r="C9" s="429" t="s">
        <v>21</v>
      </c>
      <c r="D9" s="430" t="s">
        <v>17</v>
      </c>
      <c r="E9" s="431">
        <f>商管公司2月实际!J9</f>
        <v>14224296</v>
      </c>
      <c r="F9" s="446">
        <f>威高广场3月实际!F35</f>
        <v>14783559.58</v>
      </c>
      <c r="G9" s="446">
        <f>威高广场3月实际!G35</f>
        <v>14761659.58</v>
      </c>
      <c r="H9" s="432">
        <f t="shared" si="1"/>
        <v>0.66140933771974797</v>
      </c>
      <c r="I9" s="431"/>
      <c r="J9" s="433"/>
      <c r="K9" s="431"/>
      <c r="L9" s="434"/>
      <c r="M9" s="435"/>
      <c r="N9" s="436">
        <f t="shared" si="0"/>
        <v>1.0393174874876101</v>
      </c>
    </row>
    <row r="10" spans="1:14" s="409" customFormat="1" ht="26.1" customHeight="1">
      <c r="A10" s="617"/>
      <c r="B10" s="447" t="s">
        <v>29</v>
      </c>
      <c r="C10" s="448" t="s">
        <v>30</v>
      </c>
      <c r="D10" s="449" t="s">
        <v>31</v>
      </c>
      <c r="E10" s="450">
        <f>SUM(E7:E9)</f>
        <v>14799052</v>
      </c>
      <c r="F10" s="450">
        <f>SUM(F7:F9)</f>
        <v>15237035.58</v>
      </c>
      <c r="G10" s="450">
        <f>SUM(G7:G9)</f>
        <v>15215135.58</v>
      </c>
      <c r="H10" s="432"/>
      <c r="I10" s="431"/>
      <c r="J10" s="433"/>
      <c r="K10" s="431"/>
      <c r="L10" s="434"/>
      <c r="M10" s="435"/>
      <c r="N10" s="436">
        <f t="shared" si="0"/>
        <v>1.0295953808392599</v>
      </c>
    </row>
    <row r="11" spans="1:14" s="409" customFormat="1" ht="26.1" customHeight="1">
      <c r="A11" s="451" t="s">
        <v>32</v>
      </c>
      <c r="B11" s="438" t="s">
        <v>33</v>
      </c>
      <c r="C11" s="439" t="s">
        <v>34</v>
      </c>
      <c r="D11" s="452" t="s">
        <v>35</v>
      </c>
      <c r="E11" s="453">
        <f>E6-E10</f>
        <v>7110275.0999999996</v>
      </c>
      <c r="F11" s="453">
        <f>F6-F10</f>
        <v>7102300.2778295605</v>
      </c>
      <c r="G11" s="453">
        <f>G6-G10</f>
        <v>7103357.2778295996</v>
      </c>
      <c r="H11" s="454"/>
      <c r="I11" s="455"/>
      <c r="J11" s="456"/>
      <c r="K11" s="455"/>
      <c r="L11" s="457"/>
      <c r="M11" s="458"/>
      <c r="N11" s="436">
        <f t="shared" si="0"/>
        <v>0.99887840877346101</v>
      </c>
    </row>
    <row r="12" spans="1:14" s="409" customFormat="1" ht="26.1" customHeight="1">
      <c r="A12" s="624" t="s">
        <v>36</v>
      </c>
      <c r="B12" s="428" t="s">
        <v>37</v>
      </c>
      <c r="C12" s="429" t="s">
        <v>38</v>
      </c>
      <c r="D12" s="430" t="s">
        <v>17</v>
      </c>
      <c r="E12" s="431">
        <f>'2月时间实际 '!E21</f>
        <v>45366.5</v>
      </c>
      <c r="F12" s="459">
        <f>'3月时间实际'!C21</f>
        <v>56166</v>
      </c>
      <c r="G12" s="459">
        <f>'3月时间实际'!C21</f>
        <v>56166</v>
      </c>
      <c r="H12" s="460"/>
      <c r="I12" s="459"/>
      <c r="J12" s="461"/>
      <c r="K12" s="459"/>
      <c r="L12" s="462"/>
      <c r="M12" s="462"/>
    </row>
    <row r="13" spans="1:14" s="409" customFormat="1" ht="26.1" customHeight="1">
      <c r="A13" s="624"/>
      <c r="B13" s="428" t="s">
        <v>39</v>
      </c>
      <c r="C13" s="429" t="s">
        <v>40</v>
      </c>
      <c r="D13" s="430" t="s">
        <v>17</v>
      </c>
      <c r="E13" s="431">
        <f>'2月时间实际 '!F21</f>
        <v>5336</v>
      </c>
      <c r="F13" s="459">
        <f>'3月时间实际'!D21</f>
        <v>6230</v>
      </c>
      <c r="G13" s="459">
        <f>'3月时间实际'!D21</f>
        <v>6230</v>
      </c>
      <c r="H13" s="460"/>
      <c r="I13" s="459"/>
      <c r="J13" s="461"/>
      <c r="K13" s="459"/>
      <c r="L13" s="462"/>
      <c r="M13" s="462"/>
    </row>
    <row r="14" spans="1:14" s="409" customFormat="1" ht="26.1" customHeight="1">
      <c r="A14" s="624"/>
      <c r="B14" s="428" t="s">
        <v>41</v>
      </c>
      <c r="C14" s="429" t="s">
        <v>42</v>
      </c>
      <c r="D14" s="463" t="s">
        <v>43</v>
      </c>
      <c r="E14" s="431">
        <f>SUM(E12:E13)</f>
        <v>50702.5</v>
      </c>
      <c r="F14" s="459">
        <f>SUM(F12:F13)</f>
        <v>62396</v>
      </c>
      <c r="G14" s="459">
        <f>SUM(G12:G13)</f>
        <v>62396</v>
      </c>
      <c r="H14" s="460"/>
      <c r="I14" s="459"/>
      <c r="J14" s="461"/>
      <c r="K14" s="459"/>
      <c r="L14" s="462"/>
      <c r="M14" s="462"/>
    </row>
    <row r="15" spans="1:14" s="409" customFormat="1" ht="26.1" customHeight="1">
      <c r="A15" s="464" t="s">
        <v>44</v>
      </c>
      <c r="B15" s="438" t="s">
        <v>45</v>
      </c>
      <c r="C15" s="439" t="s">
        <v>46</v>
      </c>
      <c r="D15" s="452" t="s">
        <v>47</v>
      </c>
      <c r="E15" s="465">
        <f>E11/E14</f>
        <v>140.23519747546999</v>
      </c>
      <c r="F15" s="465">
        <f>F11/F14</f>
        <v>113.82621126081099</v>
      </c>
      <c r="G15" s="465">
        <f>G11/G14</f>
        <v>113.843151449285</v>
      </c>
      <c r="H15" s="454"/>
      <c r="I15" s="455"/>
      <c r="J15" s="466"/>
      <c r="K15" s="455"/>
      <c r="L15" s="457"/>
      <c r="M15" s="457"/>
    </row>
    <row r="16" spans="1:14" s="409" customFormat="1" ht="66.95" customHeight="1">
      <c r="A16" s="444" t="s">
        <v>48</v>
      </c>
      <c r="B16" s="467" t="s">
        <v>49</v>
      </c>
      <c r="C16" s="429" t="s">
        <v>50</v>
      </c>
      <c r="D16" s="430" t="s">
        <v>17</v>
      </c>
      <c r="E16" s="468">
        <f>'3月时间实际'!B21</f>
        <v>294</v>
      </c>
      <c r="F16" s="469">
        <f>'3月时间实际'!B21</f>
        <v>294</v>
      </c>
      <c r="G16" s="459">
        <f>'3月时间实际'!B21</f>
        <v>294</v>
      </c>
      <c r="H16" s="460"/>
      <c r="I16" s="459"/>
      <c r="J16" s="461"/>
      <c r="K16" s="459"/>
      <c r="L16" s="462"/>
      <c r="M16" s="462"/>
    </row>
    <row r="17" spans="1:13" s="409" customFormat="1" ht="26.1" customHeight="1">
      <c r="A17" s="617" t="s">
        <v>58</v>
      </c>
      <c r="B17" s="617"/>
      <c r="C17" s="621"/>
      <c r="D17" s="617"/>
      <c r="E17" s="617"/>
      <c r="F17" s="617"/>
      <c r="G17" s="617"/>
      <c r="H17" s="622"/>
      <c r="I17" s="617"/>
      <c r="J17" s="617"/>
      <c r="K17" s="617"/>
      <c r="L17" s="617"/>
      <c r="M17" s="617"/>
    </row>
    <row r="18" spans="1:13" s="409" customFormat="1" ht="26.1" customHeight="1">
      <c r="A18" s="617" t="s">
        <v>59</v>
      </c>
      <c r="B18" s="428" t="s">
        <v>60</v>
      </c>
      <c r="C18" s="470" t="s">
        <v>61</v>
      </c>
      <c r="D18" s="430" t="s">
        <v>62</v>
      </c>
      <c r="E18" s="471">
        <v>2179054.04</v>
      </c>
      <c r="F18" s="472"/>
      <c r="G18" s="473"/>
      <c r="H18" s="460"/>
      <c r="I18" s="505"/>
      <c r="J18" s="475"/>
      <c r="K18" s="475"/>
      <c r="L18" s="475"/>
      <c r="M18" s="475"/>
    </row>
    <row r="19" spans="1:13" s="409" customFormat="1" ht="26.1" hidden="1" customHeight="1">
      <c r="A19" s="617"/>
      <c r="B19" s="476" t="s">
        <v>63</v>
      </c>
      <c r="C19" s="470" t="s">
        <v>64</v>
      </c>
      <c r="D19" s="477" t="s">
        <v>65</v>
      </c>
      <c r="E19" s="477"/>
      <c r="F19" s="473"/>
      <c r="G19" s="475"/>
      <c r="H19" s="460" t="s">
        <v>53</v>
      </c>
      <c r="I19" s="505"/>
      <c r="J19" s="461" t="s">
        <v>53</v>
      </c>
      <c r="K19" s="475"/>
      <c r="L19" s="475"/>
      <c r="M19" s="475"/>
    </row>
    <row r="20" spans="1:13" s="409" customFormat="1" ht="26.1" hidden="1" customHeight="1">
      <c r="A20" s="617"/>
      <c r="B20" s="476" t="s">
        <v>66</v>
      </c>
      <c r="C20" s="429" t="s">
        <v>67</v>
      </c>
      <c r="D20" s="430" t="s">
        <v>68</v>
      </c>
      <c r="E20" s="430"/>
      <c r="F20" s="473"/>
      <c r="G20" s="475"/>
      <c r="H20" s="460" t="s">
        <v>53</v>
      </c>
      <c r="I20" s="505"/>
      <c r="J20" s="461" t="s">
        <v>53</v>
      </c>
      <c r="K20" s="475"/>
      <c r="L20" s="475"/>
      <c r="M20" s="475"/>
    </row>
    <row r="21" spans="1:13" ht="26.1" customHeight="1">
      <c r="A21" s="617"/>
      <c r="B21" s="476" t="s">
        <v>69</v>
      </c>
      <c r="C21" s="429" t="s">
        <v>70</v>
      </c>
      <c r="D21" s="430" t="s">
        <v>71</v>
      </c>
      <c r="E21" s="430"/>
      <c r="F21" s="473"/>
      <c r="G21" s="478"/>
      <c r="H21" s="460" t="s">
        <v>53</v>
      </c>
      <c r="I21" s="505"/>
      <c r="J21" s="461" t="s">
        <v>53</v>
      </c>
      <c r="K21" s="475"/>
      <c r="L21" s="475"/>
      <c r="M21" s="475"/>
    </row>
    <row r="22" spans="1:13" ht="26.1" customHeight="1">
      <c r="A22" s="479"/>
      <c r="B22" s="480"/>
      <c r="D22" s="410"/>
      <c r="E22" s="410"/>
      <c r="F22" s="481"/>
      <c r="G22" s="481"/>
      <c r="H22" s="482"/>
      <c r="I22" s="481"/>
      <c r="J22" s="481"/>
      <c r="K22" s="481"/>
      <c r="L22" s="481"/>
      <c r="M22" s="481"/>
    </row>
    <row r="23" spans="1:13" ht="26.1" customHeight="1">
      <c r="A23" s="479"/>
      <c r="B23" s="480"/>
      <c r="D23" s="410"/>
      <c r="E23" s="410"/>
      <c r="F23" s="481"/>
      <c r="G23" s="481"/>
      <c r="H23" s="482"/>
      <c r="I23" s="481"/>
      <c r="J23" s="481"/>
      <c r="K23" s="481"/>
      <c r="L23" s="481"/>
      <c r="M23" s="481"/>
    </row>
    <row r="24" spans="1:13" ht="26.1" customHeight="1">
      <c r="A24" s="479"/>
      <c r="B24" s="480"/>
      <c r="D24" s="410"/>
      <c r="E24" s="410"/>
      <c r="F24" s="481"/>
      <c r="G24" s="481"/>
      <c r="H24" s="482"/>
      <c r="I24" s="481"/>
      <c r="J24" s="481"/>
      <c r="K24" s="481"/>
      <c r="L24" s="481"/>
      <c r="M24" s="481"/>
    </row>
  </sheetData>
  <sheetProtection formatCells="0" formatColumns="0" formatRows="0" insertColumns="0" insertRows="0" insertHyperlinks="0" deleteColumns="0" deleteRows="0" sort="0" autoFilter="0" pivotTables="0"/>
  <mergeCells count="6">
    <mergeCell ref="A18:A21"/>
    <mergeCell ref="A1:M1"/>
    <mergeCell ref="A17:M17"/>
    <mergeCell ref="A3:A5"/>
    <mergeCell ref="A7:A10"/>
    <mergeCell ref="A12:A14"/>
  </mergeCells>
  <phoneticPr fontId="54" type="noConversion"/>
  <pageMargins left="0.75" right="0.75" top="1" bottom="1" header="0.5" footer="0.5"/>
  <pageSetup paperSize="9"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57"/>
  <sheetViews>
    <sheetView workbookViewId="0">
      <pane ySplit="3" topLeftCell="A47" activePane="bottomLeft" state="frozen"/>
      <selection pane="bottomLeft" activeCell="E55" sqref="E55"/>
    </sheetView>
  </sheetViews>
  <sheetFormatPr defaultColWidth="9" defaultRowHeight="30.95" customHeight="1"/>
  <cols>
    <col min="1" max="1" width="7.375" customWidth="1"/>
    <col min="2" max="2" width="14" customWidth="1"/>
    <col min="3" max="3" width="13.5" customWidth="1"/>
    <col min="4" max="4" width="10.125" style="336" customWidth="1"/>
    <col min="5" max="5" width="16.375" style="336" customWidth="1"/>
    <col min="6" max="6" width="15.875" style="337" customWidth="1"/>
    <col min="7" max="7" width="17.125" style="338" customWidth="1"/>
    <col min="8" max="8" width="14.875" style="339" customWidth="1"/>
    <col min="9" max="9" width="15.75" customWidth="1"/>
    <col min="10" max="10" width="11.5" customWidth="1"/>
    <col min="11" max="11" width="10.75" customWidth="1"/>
    <col min="12" max="12" width="10.125" customWidth="1"/>
    <col min="13" max="13" width="13.25" customWidth="1"/>
    <col min="14" max="14" width="18.5" style="340" hidden="1" customWidth="1"/>
    <col min="16" max="16" width="16" customWidth="1"/>
  </cols>
  <sheetData>
    <row r="1" spans="1:14" ht="30.95" customHeight="1">
      <c r="A1" s="699" t="s">
        <v>207</v>
      </c>
      <c r="B1" s="699"/>
      <c r="C1" s="699"/>
      <c r="D1" s="699"/>
      <c r="E1" s="699"/>
      <c r="F1" s="700"/>
      <c r="G1" s="700"/>
      <c r="H1" s="699"/>
      <c r="I1" s="699"/>
      <c r="J1" s="699"/>
      <c r="K1" s="699"/>
      <c r="L1" s="699"/>
      <c r="M1" s="699"/>
      <c r="N1" s="702"/>
    </row>
    <row r="2" spans="1:14" s="322" customFormat="1" ht="30.95" customHeight="1">
      <c r="A2" s="703" t="s">
        <v>1</v>
      </c>
      <c r="B2" s="703"/>
      <c r="C2" s="703"/>
      <c r="D2" s="341" t="s">
        <v>4</v>
      </c>
      <c r="E2" s="342" t="s">
        <v>208</v>
      </c>
      <c r="F2" s="490" t="s">
        <v>74</v>
      </c>
      <c r="G2" s="490" t="s">
        <v>7</v>
      </c>
      <c r="H2" s="344" t="s">
        <v>75</v>
      </c>
      <c r="I2" s="491" t="s">
        <v>76</v>
      </c>
      <c r="J2" s="492" t="s">
        <v>75</v>
      </c>
      <c r="K2" s="493" t="s">
        <v>77</v>
      </c>
      <c r="L2" s="493" t="s">
        <v>78</v>
      </c>
      <c r="M2" s="493" t="s">
        <v>79</v>
      </c>
      <c r="N2" s="346" t="s">
        <v>209</v>
      </c>
    </row>
    <row r="3" spans="1:14" ht="30.95" customHeight="1">
      <c r="A3" s="634" t="s">
        <v>81</v>
      </c>
      <c r="B3" s="688" t="s">
        <v>82</v>
      </c>
      <c r="C3" s="689"/>
      <c r="D3" s="347" t="s">
        <v>15</v>
      </c>
      <c r="E3" s="348">
        <f>威高广场2月实际!I3</f>
        <v>9361815.3300000001</v>
      </c>
      <c r="F3" s="348">
        <v>10060063.42</v>
      </c>
      <c r="G3" s="348">
        <v>10060063.42</v>
      </c>
      <c r="H3" s="58">
        <f t="shared" ref="H3:H14" si="0">F3/$F$6</f>
        <v>0.59868183611819303</v>
      </c>
      <c r="I3" s="349"/>
      <c r="J3" s="349"/>
      <c r="K3" s="349"/>
      <c r="L3" s="350"/>
      <c r="M3" s="350"/>
      <c r="N3" s="351">
        <f t="shared" ref="N3:N24" si="1">G3/E3</f>
        <v>1.0745846895486699</v>
      </c>
    </row>
    <row r="4" spans="1:14" ht="30.95" customHeight="1">
      <c r="A4" s="634"/>
      <c r="B4" s="688" t="s">
        <v>83</v>
      </c>
      <c r="C4" s="689"/>
      <c r="D4" s="347" t="s">
        <v>18</v>
      </c>
      <c r="E4" s="348">
        <f>威高广场2月实际!I4</f>
        <v>3523589.04</v>
      </c>
      <c r="F4" s="348">
        <v>4466249.87</v>
      </c>
      <c r="G4" s="348">
        <v>4466249.87</v>
      </c>
      <c r="H4" s="58">
        <f t="shared" si="0"/>
        <v>0.26578984257876997</v>
      </c>
      <c r="I4" s="349"/>
      <c r="J4" s="349"/>
      <c r="K4" s="349"/>
      <c r="L4" s="350"/>
      <c r="M4" s="350"/>
      <c r="N4" s="351">
        <f t="shared" si="1"/>
        <v>1.2675285963541301</v>
      </c>
    </row>
    <row r="5" spans="1:14" ht="30.95" customHeight="1">
      <c r="A5" s="634"/>
      <c r="B5" s="688" t="s">
        <v>84</v>
      </c>
      <c r="C5" s="689"/>
      <c r="D5" s="347" t="s">
        <v>20</v>
      </c>
      <c r="E5" s="348">
        <v>2484040.39</v>
      </c>
      <c r="F5" s="348">
        <v>2277375.77</v>
      </c>
      <c r="G5" s="348">
        <v>2277375.77</v>
      </c>
      <c r="H5" s="58">
        <f t="shared" si="0"/>
        <v>0.13552832130303699</v>
      </c>
      <c r="I5" s="349"/>
      <c r="J5" s="349"/>
      <c r="K5" s="349"/>
      <c r="L5" s="350"/>
      <c r="M5" s="350"/>
      <c r="N5" s="351">
        <f t="shared" si="1"/>
        <v>0.91680303555772702</v>
      </c>
    </row>
    <row r="6" spans="1:14" ht="30.95" customHeight="1">
      <c r="A6" s="634"/>
      <c r="B6" s="693" t="s">
        <v>85</v>
      </c>
      <c r="C6" s="694"/>
      <c r="D6" s="352"/>
      <c r="E6" s="86">
        <f>威高广场2月实际!I6</f>
        <v>15369444.76</v>
      </c>
      <c r="F6" s="86">
        <f>SUM(F3:F5)</f>
        <v>16803689.059999999</v>
      </c>
      <c r="G6" s="86">
        <f>SUM(G3:G5)</f>
        <v>16803689.059999999</v>
      </c>
      <c r="H6" s="88">
        <f t="shared" si="0"/>
        <v>1</v>
      </c>
      <c r="I6" s="494"/>
      <c r="J6" s="353"/>
      <c r="K6" s="353"/>
      <c r="L6" s="354"/>
      <c r="M6" s="354"/>
      <c r="N6" s="355">
        <f t="shared" si="1"/>
        <v>1.0933178994034101</v>
      </c>
    </row>
    <row r="7" spans="1:14" ht="30.95" customHeight="1">
      <c r="A7" s="634"/>
      <c r="B7" s="688" t="s">
        <v>86</v>
      </c>
      <c r="C7" s="689"/>
      <c r="D7" s="347" t="s">
        <v>87</v>
      </c>
      <c r="E7" s="348">
        <f>威高广场2月实际!I7</f>
        <v>1101803</v>
      </c>
      <c r="F7" s="356">
        <v>1015400</v>
      </c>
      <c r="G7" s="356">
        <v>1015400</v>
      </c>
      <c r="H7" s="58">
        <f t="shared" si="0"/>
        <v>6.0427207167090997E-2</v>
      </c>
      <c r="I7" s="349"/>
      <c r="J7" s="349"/>
      <c r="K7" s="349"/>
      <c r="L7" s="350"/>
      <c r="M7" s="350"/>
      <c r="N7" s="351">
        <f t="shared" si="1"/>
        <v>0.92158035510885306</v>
      </c>
    </row>
    <row r="8" spans="1:14" ht="30.95" customHeight="1">
      <c r="A8" s="634"/>
      <c r="B8" s="695" t="s">
        <v>88</v>
      </c>
      <c r="C8" s="696"/>
      <c r="D8" s="347" t="s">
        <v>89</v>
      </c>
      <c r="E8" s="348">
        <f>威高广场2月实际!I8</f>
        <v>-361009.67</v>
      </c>
      <c r="F8" s="356">
        <v>100400</v>
      </c>
      <c r="G8" s="356">
        <v>100400</v>
      </c>
      <c r="H8" s="58">
        <f t="shared" si="0"/>
        <v>5.9748784711206697E-3</v>
      </c>
      <c r="I8" s="349"/>
      <c r="J8" s="349"/>
      <c r="K8" s="349"/>
      <c r="L8" s="350"/>
      <c r="M8" s="350"/>
      <c r="N8" s="351">
        <f t="shared" si="1"/>
        <v>-0.27810889386979598</v>
      </c>
    </row>
    <row r="9" spans="1:14" ht="38.1" customHeight="1">
      <c r="A9" s="634"/>
      <c r="B9" s="697" t="s">
        <v>90</v>
      </c>
      <c r="C9" s="698"/>
      <c r="D9" s="347" t="s">
        <v>91</v>
      </c>
      <c r="E9" s="348">
        <f>威高广场2月实际!I9</f>
        <v>432600</v>
      </c>
      <c r="F9" s="356">
        <v>294000</v>
      </c>
      <c r="G9" s="356">
        <v>294000</v>
      </c>
      <c r="H9" s="58">
        <f t="shared" si="0"/>
        <v>1.7496158072803601E-2</v>
      </c>
      <c r="I9" s="349"/>
      <c r="J9" s="349"/>
      <c r="K9" s="349"/>
      <c r="L9" s="350"/>
      <c r="M9" s="350"/>
      <c r="N9" s="351">
        <f t="shared" si="1"/>
        <v>0.67961165048543704</v>
      </c>
    </row>
    <row r="10" spans="1:14" ht="30.95" customHeight="1">
      <c r="A10" s="634"/>
      <c r="B10" s="688" t="s">
        <v>92</v>
      </c>
      <c r="C10" s="689"/>
      <c r="D10" s="347" t="s">
        <v>93</v>
      </c>
      <c r="E10" s="348">
        <f>威高广场2月实际!I10</f>
        <v>433000</v>
      </c>
      <c r="F10" s="57">
        <v>459300</v>
      </c>
      <c r="G10" s="57">
        <v>459300</v>
      </c>
      <c r="H10" s="58">
        <f t="shared" si="0"/>
        <v>2.73332836831248E-2</v>
      </c>
      <c r="I10" s="349"/>
      <c r="J10" s="349"/>
      <c r="K10" s="349"/>
      <c r="L10" s="350"/>
      <c r="M10" s="350"/>
      <c r="N10" s="351">
        <f t="shared" si="1"/>
        <v>1.0607390300230899</v>
      </c>
    </row>
    <row r="11" spans="1:14" ht="30.95" customHeight="1">
      <c r="A11" s="634"/>
      <c r="B11" s="688" t="s">
        <v>94</v>
      </c>
      <c r="C11" s="689"/>
      <c r="D11" s="347" t="s">
        <v>95</v>
      </c>
      <c r="E11" s="348">
        <f>威高广场2月实际!I11</f>
        <v>492433.57</v>
      </c>
      <c r="F11" s="356">
        <v>492433.89</v>
      </c>
      <c r="G11" s="356">
        <v>492433.89</v>
      </c>
      <c r="H11" s="58">
        <f t="shared" si="0"/>
        <v>2.9305106053896499E-2</v>
      </c>
      <c r="I11" s="349"/>
      <c r="J11" s="349"/>
      <c r="K11" s="349"/>
      <c r="L11" s="350"/>
      <c r="M11" s="350"/>
      <c r="N11" s="351">
        <f t="shared" si="1"/>
        <v>1.0000006498338401</v>
      </c>
    </row>
    <row r="12" spans="1:14" ht="30.95" customHeight="1">
      <c r="A12" s="634"/>
      <c r="B12" s="688" t="s">
        <v>96</v>
      </c>
      <c r="C12" s="689"/>
      <c r="D12" s="347" t="s">
        <v>97</v>
      </c>
      <c r="E12" s="348">
        <f>威高广场2月实际!I12</f>
        <v>2473684</v>
      </c>
      <c r="F12" s="356">
        <v>1986541</v>
      </c>
      <c r="G12" s="356">
        <v>1965698</v>
      </c>
      <c r="H12" s="58">
        <f t="shared" si="0"/>
        <v>0.118220528415324</v>
      </c>
      <c r="I12" s="349"/>
      <c r="J12" s="349"/>
      <c r="K12" s="349"/>
      <c r="L12" s="350"/>
      <c r="M12" s="350"/>
      <c r="N12" s="351">
        <f t="shared" si="1"/>
        <v>0.79464393996969696</v>
      </c>
    </row>
    <row r="13" spans="1:14" ht="38.1" customHeight="1">
      <c r="A13" s="634"/>
      <c r="B13" s="688" t="s">
        <v>98</v>
      </c>
      <c r="C13" s="689"/>
      <c r="D13" s="347" t="s">
        <v>99</v>
      </c>
      <c r="E13" s="348">
        <f>威高广场2月实际!I13</f>
        <v>221700</v>
      </c>
      <c r="F13" s="356">
        <v>163300</v>
      </c>
      <c r="G13" s="356">
        <v>163300</v>
      </c>
      <c r="H13" s="58">
        <f t="shared" si="0"/>
        <v>9.7181041268327301E-3</v>
      </c>
      <c r="I13" s="349"/>
      <c r="J13" s="349"/>
      <c r="K13" s="349"/>
      <c r="L13" s="350"/>
      <c r="M13" s="350"/>
      <c r="N13" s="351">
        <f t="shared" si="1"/>
        <v>0.73658096526838102</v>
      </c>
    </row>
    <row r="14" spans="1:14" ht="38.1" customHeight="1">
      <c r="A14" s="634"/>
      <c r="B14" s="688" t="s">
        <v>100</v>
      </c>
      <c r="C14" s="689"/>
      <c r="D14" s="347" t="s">
        <v>101</v>
      </c>
      <c r="E14" s="348">
        <f>威高广场2月实际!I14</f>
        <v>778314.82</v>
      </c>
      <c r="F14" s="348">
        <v>81436.437829564602</v>
      </c>
      <c r="G14" s="348">
        <v>81436.437829564602</v>
      </c>
      <c r="H14" s="58">
        <f t="shared" si="0"/>
        <v>4.8463428202452398E-3</v>
      </c>
      <c r="I14" s="349"/>
      <c r="J14" s="349"/>
      <c r="K14" s="349"/>
      <c r="L14" s="350"/>
      <c r="M14" s="350"/>
      <c r="N14" s="351">
        <f t="shared" si="1"/>
        <v>0.104631745068872</v>
      </c>
    </row>
    <row r="15" spans="1:14" ht="30.95" customHeight="1">
      <c r="A15" s="690" t="s">
        <v>102</v>
      </c>
      <c r="B15" s="691"/>
      <c r="C15" s="692"/>
      <c r="D15" s="352" t="s">
        <v>103</v>
      </c>
      <c r="E15" s="495">
        <f t="shared" ref="E15:G15" si="2">SUM(E6:E14)</f>
        <v>20941970.48</v>
      </c>
      <c r="F15" s="357">
        <f t="shared" si="2"/>
        <v>21396500.387829602</v>
      </c>
      <c r="G15" s="357">
        <f t="shared" si="2"/>
        <v>21375657.387829602</v>
      </c>
      <c r="H15" s="88"/>
      <c r="I15" s="496"/>
      <c r="J15" s="494"/>
      <c r="K15" s="494"/>
      <c r="L15" s="497"/>
      <c r="M15" s="497"/>
      <c r="N15" s="355">
        <f t="shared" si="1"/>
        <v>1.020708982865</v>
      </c>
    </row>
    <row r="16" spans="1:14" ht="30.95" hidden="1" customHeight="1">
      <c r="A16" s="359"/>
      <c r="B16" s="360" t="s">
        <v>104</v>
      </c>
      <c r="C16" s="361"/>
      <c r="D16" s="362"/>
      <c r="E16" s="362"/>
      <c r="F16" s="363"/>
      <c r="G16" s="364"/>
      <c r="H16" s="58"/>
      <c r="I16" s="365"/>
      <c r="J16" s="349"/>
      <c r="K16" s="349"/>
      <c r="L16" s="350"/>
      <c r="M16" s="350"/>
      <c r="N16" s="351" t="e">
        <f t="shared" si="1"/>
        <v>#DIV/0!</v>
      </c>
    </row>
    <row r="17" spans="1:14" ht="30.95" customHeight="1">
      <c r="A17" s="635" t="s">
        <v>105</v>
      </c>
      <c r="B17" s="686" t="s">
        <v>106</v>
      </c>
      <c r="C17" s="687"/>
      <c r="D17" s="366" t="s">
        <v>37</v>
      </c>
      <c r="E17" s="498">
        <f>威高广场2月实际!I17</f>
        <v>9456669</v>
      </c>
      <c r="F17" s="356">
        <v>9707200</v>
      </c>
      <c r="G17" s="356">
        <v>9707200</v>
      </c>
      <c r="H17" s="58">
        <f t="shared" ref="H17:H34" si="3">G17/$G$15</f>
        <v>0.45412404511717602</v>
      </c>
      <c r="I17" s="349"/>
      <c r="J17" s="349"/>
      <c r="K17" s="349"/>
      <c r="L17" s="350"/>
      <c r="M17" s="350"/>
      <c r="N17" s="351">
        <f t="shared" si="1"/>
        <v>1.02649252078084</v>
      </c>
    </row>
    <row r="18" spans="1:14" ht="30.95" customHeight="1">
      <c r="A18" s="636"/>
      <c r="B18" s="686" t="s">
        <v>107</v>
      </c>
      <c r="C18" s="687"/>
      <c r="D18" s="366" t="s">
        <v>39</v>
      </c>
      <c r="E18" s="498">
        <f>威高广场2月实际!I18</f>
        <v>1990574</v>
      </c>
      <c r="F18" s="356">
        <v>1695700</v>
      </c>
      <c r="G18" s="356">
        <v>1695700</v>
      </c>
      <c r="H18" s="58">
        <f t="shared" si="3"/>
        <v>7.9328554403452503E-2</v>
      </c>
      <c r="I18" s="349"/>
      <c r="J18" s="349"/>
      <c r="K18" s="349"/>
      <c r="L18" s="350"/>
      <c r="M18" s="350"/>
      <c r="N18" s="351">
        <f t="shared" si="1"/>
        <v>0.85186483898614196</v>
      </c>
    </row>
    <row r="19" spans="1:14" ht="30.95" customHeight="1">
      <c r="A19" s="636"/>
      <c r="B19" s="686" t="s">
        <v>108</v>
      </c>
      <c r="C19" s="687"/>
      <c r="D19" s="366" t="s">
        <v>109</v>
      </c>
      <c r="E19" s="498">
        <f>威高广场2月实际!I19</f>
        <v>1137393</v>
      </c>
      <c r="F19" s="356">
        <v>1343400</v>
      </c>
      <c r="G19" s="356">
        <v>1343400</v>
      </c>
      <c r="H19" s="58">
        <f t="shared" si="3"/>
        <v>6.28471899425595E-2</v>
      </c>
      <c r="I19" s="349"/>
      <c r="J19" s="349"/>
      <c r="K19" s="349"/>
      <c r="L19" s="350"/>
      <c r="M19" s="350"/>
      <c r="N19" s="351">
        <f t="shared" si="1"/>
        <v>1.1811220923638499</v>
      </c>
    </row>
    <row r="20" spans="1:14" ht="30.95" customHeight="1">
      <c r="A20" s="636"/>
      <c r="B20" s="686" t="s">
        <v>110</v>
      </c>
      <c r="C20" s="687"/>
      <c r="D20" s="366" t="s">
        <v>111</v>
      </c>
      <c r="E20" s="498">
        <f>威高广场2月实际!I20</f>
        <v>496596.85</v>
      </c>
      <c r="F20" s="356">
        <v>659782.5</v>
      </c>
      <c r="G20" s="356">
        <v>659782.5</v>
      </c>
      <c r="H20" s="58">
        <f t="shared" si="3"/>
        <v>3.0866068258356999E-2</v>
      </c>
      <c r="I20" s="349"/>
      <c r="J20" s="349"/>
      <c r="K20" s="349"/>
      <c r="L20" s="350"/>
      <c r="M20" s="350"/>
      <c r="N20" s="351">
        <f t="shared" si="1"/>
        <v>1.3286079039768399</v>
      </c>
    </row>
    <row r="21" spans="1:14" ht="30.95" customHeight="1">
      <c r="A21" s="636"/>
      <c r="B21" s="686" t="s">
        <v>112</v>
      </c>
      <c r="C21" s="687"/>
      <c r="D21" s="367" t="s">
        <v>113</v>
      </c>
      <c r="E21" s="498">
        <f>威高广场2月实际!I21</f>
        <v>520448.66</v>
      </c>
      <c r="F21" s="144">
        <v>517775.66</v>
      </c>
      <c r="G21" s="144">
        <v>517775.66</v>
      </c>
      <c r="H21" s="58">
        <f t="shared" si="3"/>
        <v>2.4222677721939902E-2</v>
      </c>
      <c r="I21" s="349"/>
      <c r="J21" s="349"/>
      <c r="K21" s="349"/>
      <c r="L21" s="350"/>
      <c r="M21" s="350"/>
      <c r="N21" s="351">
        <f t="shared" si="1"/>
        <v>0.99486404672460904</v>
      </c>
    </row>
    <row r="22" spans="1:14" ht="30.95" customHeight="1">
      <c r="A22" s="636"/>
      <c r="B22" s="686" t="s">
        <v>114</v>
      </c>
      <c r="C22" s="687"/>
      <c r="D22" s="367" t="s">
        <v>115</v>
      </c>
      <c r="E22" s="498">
        <f>威高广场2月实际!I22</f>
        <v>123336</v>
      </c>
      <c r="F22" s="356">
        <v>243383</v>
      </c>
      <c r="G22" s="356">
        <v>243383</v>
      </c>
      <c r="H22" s="58">
        <f t="shared" si="3"/>
        <v>1.13859890053521E-2</v>
      </c>
      <c r="I22" s="349"/>
      <c r="J22" s="349"/>
      <c r="K22" s="349"/>
      <c r="L22" s="350"/>
      <c r="M22" s="350"/>
      <c r="N22" s="351">
        <f t="shared" si="1"/>
        <v>1.9733330090160199</v>
      </c>
    </row>
    <row r="23" spans="1:14" ht="30.95" customHeight="1">
      <c r="A23" s="636"/>
      <c r="B23" s="686" t="s">
        <v>116</v>
      </c>
      <c r="C23" s="687"/>
      <c r="D23" s="367" t="s">
        <v>117</v>
      </c>
      <c r="E23" s="498">
        <f>威高广场2月实际!I23</f>
        <v>195211.06</v>
      </c>
      <c r="F23" s="356">
        <v>176365</v>
      </c>
      <c r="G23" s="356">
        <v>176365</v>
      </c>
      <c r="H23" s="58">
        <f t="shared" si="3"/>
        <v>8.2507404006398003E-3</v>
      </c>
      <c r="I23" s="349"/>
      <c r="J23" s="349"/>
      <c r="K23" s="349"/>
      <c r="L23" s="350"/>
      <c r="M23" s="350"/>
      <c r="N23" s="351">
        <f t="shared" si="1"/>
        <v>0.90345803152751702</v>
      </c>
    </row>
    <row r="24" spans="1:14" ht="30.95" customHeight="1">
      <c r="A24" s="636"/>
      <c r="B24" s="684" t="s">
        <v>118</v>
      </c>
      <c r="C24" s="687"/>
      <c r="D24" s="367" t="s">
        <v>119</v>
      </c>
      <c r="E24" s="498">
        <f>威高广场2月实际!I24</f>
        <v>101546</v>
      </c>
      <c r="F24" s="356">
        <v>16800</v>
      </c>
      <c r="G24" s="356">
        <v>16800</v>
      </c>
      <c r="H24" s="58">
        <f t="shared" si="3"/>
        <v>7.8594074068408497E-4</v>
      </c>
      <c r="I24" s="349"/>
      <c r="J24" s="349"/>
      <c r="K24" s="349"/>
      <c r="L24" s="350"/>
      <c r="M24" s="350"/>
      <c r="N24" s="351">
        <f t="shared" si="1"/>
        <v>0.165442262619896</v>
      </c>
    </row>
    <row r="25" spans="1:14" ht="30.95" customHeight="1">
      <c r="A25" s="636"/>
      <c r="B25" s="686" t="s">
        <v>120</v>
      </c>
      <c r="C25" s="687"/>
      <c r="D25" s="367" t="s">
        <v>121</v>
      </c>
      <c r="E25" s="498">
        <f>威高广场2月实际!I25</f>
        <v>0</v>
      </c>
      <c r="F25" s="57">
        <v>99066.42</v>
      </c>
      <c r="G25" s="57">
        <v>99066.42</v>
      </c>
      <c r="H25" s="58">
        <f t="shared" si="3"/>
        <v>4.6345437804595603E-3</v>
      </c>
      <c r="I25" s="349"/>
      <c r="J25" s="349"/>
      <c r="K25" s="349"/>
      <c r="L25" s="350"/>
      <c r="M25" s="350"/>
      <c r="N25" s="351" t="s">
        <v>210</v>
      </c>
    </row>
    <row r="26" spans="1:14" ht="30.95" customHeight="1">
      <c r="A26" s="636"/>
      <c r="B26" s="684" t="s">
        <v>122</v>
      </c>
      <c r="C26" s="685"/>
      <c r="D26" s="367" t="s">
        <v>123</v>
      </c>
      <c r="E26" s="498">
        <f>威高广场2月实际!I26</f>
        <v>55900</v>
      </c>
      <c r="F26" s="356">
        <v>55900</v>
      </c>
      <c r="G26" s="356">
        <v>55900</v>
      </c>
      <c r="H26" s="58">
        <f t="shared" si="3"/>
        <v>2.6151242502523999E-3</v>
      </c>
      <c r="I26" s="349"/>
      <c r="J26" s="349"/>
      <c r="K26" s="349"/>
      <c r="L26" s="350"/>
      <c r="M26" s="350"/>
      <c r="N26" s="351">
        <f t="shared" ref="N26:N34" si="4">G26/E26</f>
        <v>1</v>
      </c>
    </row>
    <row r="27" spans="1:14" ht="30.95" customHeight="1">
      <c r="A27" s="636"/>
      <c r="B27" s="684" t="s">
        <v>244</v>
      </c>
      <c r="C27" s="685"/>
      <c r="D27" s="367" t="s">
        <v>124</v>
      </c>
      <c r="E27" s="498">
        <f>威高广场2月实际!I27</f>
        <v>57116.5</v>
      </c>
      <c r="F27" s="356">
        <v>68200</v>
      </c>
      <c r="G27" s="356">
        <v>68200</v>
      </c>
      <c r="H27" s="58">
        <f t="shared" si="3"/>
        <v>3.1905451496818198E-3</v>
      </c>
      <c r="I27" s="349"/>
      <c r="J27" s="349"/>
      <c r="K27" s="349"/>
      <c r="L27" s="350"/>
      <c r="M27" s="350"/>
      <c r="N27" s="351">
        <f t="shared" si="4"/>
        <v>1.1940507559111599</v>
      </c>
    </row>
    <row r="28" spans="1:14" ht="30.95" customHeight="1">
      <c r="A28" s="636"/>
      <c r="B28" s="686" t="s">
        <v>125</v>
      </c>
      <c r="C28" s="687"/>
      <c r="D28" s="367" t="s">
        <v>126</v>
      </c>
      <c r="E28" s="498">
        <f>威高广场2月实际!I28</f>
        <v>4397</v>
      </c>
      <c r="F28" s="356">
        <v>10900</v>
      </c>
      <c r="G28" s="356">
        <v>10900</v>
      </c>
      <c r="H28" s="58">
        <f t="shared" si="3"/>
        <v>5.0992583770574596E-4</v>
      </c>
      <c r="I28" s="349"/>
      <c r="J28" s="349"/>
      <c r="K28" s="349"/>
      <c r="L28" s="350"/>
      <c r="M28" s="350"/>
      <c r="N28" s="351">
        <f t="shared" si="4"/>
        <v>2.4789629292699602</v>
      </c>
    </row>
    <row r="29" spans="1:14" ht="30.95" customHeight="1">
      <c r="A29" s="636"/>
      <c r="B29" s="684" t="s">
        <v>245</v>
      </c>
      <c r="C29" s="685"/>
      <c r="D29" s="367" t="s">
        <v>127</v>
      </c>
      <c r="E29" s="498">
        <f>威高广场2月实际!I29</f>
        <v>32165.97</v>
      </c>
      <c r="F29" s="356">
        <v>38300</v>
      </c>
      <c r="G29" s="356">
        <v>38300</v>
      </c>
      <c r="H29" s="58">
        <f t="shared" si="3"/>
        <v>1.7917577600119301E-3</v>
      </c>
      <c r="I29" s="368"/>
      <c r="J29" s="349"/>
      <c r="K29" s="349"/>
      <c r="L29" s="350"/>
      <c r="M29" s="350"/>
      <c r="N29" s="351">
        <f t="shared" si="4"/>
        <v>1.19069936333336</v>
      </c>
    </row>
    <row r="30" spans="1:14" ht="30.95" customHeight="1">
      <c r="A30" s="636"/>
      <c r="B30" s="686" t="s">
        <v>128</v>
      </c>
      <c r="C30" s="687"/>
      <c r="D30" s="367" t="s">
        <v>129</v>
      </c>
      <c r="E30" s="498">
        <f>威高广场2月实际!I30</f>
        <v>0</v>
      </c>
      <c r="F30" s="356">
        <v>21600</v>
      </c>
      <c r="G30" s="356">
        <v>21600</v>
      </c>
      <c r="H30" s="58">
        <f t="shared" si="3"/>
        <v>1.0104952380223899E-3</v>
      </c>
      <c r="I30" s="349"/>
      <c r="J30" s="349"/>
      <c r="K30" s="349"/>
      <c r="L30" s="350"/>
      <c r="M30" s="350"/>
      <c r="N30" s="351" t="s">
        <v>211</v>
      </c>
    </row>
    <row r="31" spans="1:14" ht="30.95" customHeight="1">
      <c r="A31" s="636"/>
      <c r="B31" s="686" t="s">
        <v>130</v>
      </c>
      <c r="C31" s="687"/>
      <c r="D31" s="367" t="s">
        <v>131</v>
      </c>
      <c r="E31" s="498">
        <f>威高广场2月实际!I31</f>
        <v>1702</v>
      </c>
      <c r="F31" s="356">
        <v>9700</v>
      </c>
      <c r="G31" s="356">
        <v>9700</v>
      </c>
      <c r="H31" s="58">
        <f t="shared" si="3"/>
        <v>4.5378721337116799E-4</v>
      </c>
      <c r="I31" s="349"/>
      <c r="J31" s="349"/>
      <c r="K31" s="349"/>
      <c r="L31" s="350"/>
      <c r="M31" s="350"/>
      <c r="N31" s="351">
        <f t="shared" si="4"/>
        <v>5.6991774383078697</v>
      </c>
    </row>
    <row r="32" spans="1:14" ht="30.95" customHeight="1">
      <c r="A32" s="636"/>
      <c r="B32" s="676" t="s">
        <v>132</v>
      </c>
      <c r="C32" s="677"/>
      <c r="D32" s="367" t="s">
        <v>133</v>
      </c>
      <c r="E32" s="498">
        <f>威高广场2月实际!I32</f>
        <v>20064.060000000001</v>
      </c>
      <c r="F32" s="356">
        <v>60200</v>
      </c>
      <c r="G32" s="356">
        <v>60200</v>
      </c>
      <c r="H32" s="58">
        <f t="shared" si="3"/>
        <v>2.8162876541179701E-3</v>
      </c>
      <c r="I32" s="349"/>
      <c r="J32" s="349"/>
      <c r="K32" s="349"/>
      <c r="L32" s="350"/>
      <c r="M32" s="350"/>
      <c r="N32" s="351">
        <f t="shared" si="4"/>
        <v>3.0003897516255398</v>
      </c>
    </row>
    <row r="33" spans="1:16" ht="30.95" customHeight="1">
      <c r="A33" s="636"/>
      <c r="B33" s="678" t="s">
        <v>134</v>
      </c>
      <c r="C33" s="679"/>
      <c r="D33" s="367" t="s">
        <v>135</v>
      </c>
      <c r="E33" s="498">
        <f>威高广场2月实际!I33</f>
        <v>8387</v>
      </c>
      <c r="F33" s="356">
        <v>8387</v>
      </c>
      <c r="G33" s="356">
        <v>8387</v>
      </c>
      <c r="H33" s="58">
        <f t="shared" si="3"/>
        <v>3.9236220191175099E-4</v>
      </c>
      <c r="I33" s="349"/>
      <c r="J33" s="349"/>
      <c r="K33" s="349"/>
      <c r="L33" s="350"/>
      <c r="M33" s="350"/>
      <c r="N33" s="351">
        <f t="shared" si="4"/>
        <v>1</v>
      </c>
    </row>
    <row r="34" spans="1:16" ht="30.95" customHeight="1">
      <c r="A34" s="636"/>
      <c r="B34" s="678" t="s">
        <v>136</v>
      </c>
      <c r="C34" s="679"/>
      <c r="D34" s="367" t="s">
        <v>137</v>
      </c>
      <c r="E34" s="498">
        <v>22788.9</v>
      </c>
      <c r="F34" s="356">
        <v>50900</v>
      </c>
      <c r="G34" s="356">
        <v>29000</v>
      </c>
      <c r="H34" s="58">
        <f t="shared" si="3"/>
        <v>1.3566834214189601E-3</v>
      </c>
      <c r="I34" s="349"/>
      <c r="J34" s="349"/>
      <c r="K34" s="349"/>
      <c r="L34" s="350"/>
      <c r="M34" s="350"/>
      <c r="N34" s="351">
        <f t="shared" si="4"/>
        <v>1.2725493551685201</v>
      </c>
    </row>
    <row r="35" spans="1:16" ht="30.95" customHeight="1">
      <c r="A35" s="680" t="s">
        <v>30</v>
      </c>
      <c r="B35" s="680"/>
      <c r="C35" s="680"/>
      <c r="D35" s="369" t="s">
        <v>45</v>
      </c>
      <c r="E35" s="499">
        <f t="shared" ref="E35:G35" si="5">SUM(E17:E34)</f>
        <v>14224296</v>
      </c>
      <c r="F35" s="370">
        <f t="shared" si="5"/>
        <v>14783559.58</v>
      </c>
      <c r="G35" s="370">
        <f t="shared" si="5"/>
        <v>14761659.58</v>
      </c>
      <c r="H35" s="371"/>
      <c r="I35" s="353"/>
      <c r="J35" s="353"/>
      <c r="K35" s="353"/>
      <c r="L35" s="354"/>
      <c r="M35" s="354"/>
      <c r="N35" s="372"/>
    </row>
    <row r="36" spans="1:16" ht="30.95" customHeight="1">
      <c r="A36" s="681" t="s">
        <v>138</v>
      </c>
      <c r="B36" s="682"/>
      <c r="C36" s="683"/>
      <c r="D36" s="373" t="s">
        <v>139</v>
      </c>
      <c r="E36" s="373">
        <f t="shared" ref="E36:G36" si="6">E15-E35</f>
        <v>6717674.4800000004</v>
      </c>
      <c r="F36" s="370">
        <f t="shared" si="6"/>
        <v>6612940.8078295598</v>
      </c>
      <c r="G36" s="370">
        <f t="shared" si="6"/>
        <v>6613997.8078295598</v>
      </c>
      <c r="H36" s="374"/>
      <c r="I36" s="353"/>
      <c r="J36" s="375"/>
      <c r="K36" s="353"/>
      <c r="L36" s="354"/>
      <c r="M36" s="354"/>
      <c r="N36" s="372"/>
    </row>
    <row r="37" spans="1:16" ht="30.95" customHeight="1">
      <c r="A37" s="637" t="s">
        <v>140</v>
      </c>
      <c r="B37" s="642" t="s">
        <v>141</v>
      </c>
      <c r="C37" s="347" t="s">
        <v>142</v>
      </c>
      <c r="D37" s="347" t="s">
        <v>143</v>
      </c>
      <c r="E37" s="347">
        <v>263</v>
      </c>
      <c r="F37" s="356">
        <f>'2月时间实际 '!B18</f>
        <v>260</v>
      </c>
      <c r="G37" s="356">
        <v>260</v>
      </c>
      <c r="H37" s="58"/>
      <c r="I37" s="349"/>
      <c r="J37" s="376"/>
      <c r="K37" s="349"/>
      <c r="L37" s="350"/>
      <c r="M37" s="350"/>
      <c r="N37" s="377"/>
    </row>
    <row r="38" spans="1:16" ht="30.95" customHeight="1">
      <c r="A38" s="638"/>
      <c r="B38" s="643"/>
      <c r="C38" s="347" t="s">
        <v>144</v>
      </c>
      <c r="D38" s="347" t="s">
        <v>145</v>
      </c>
      <c r="E38" s="347">
        <v>0</v>
      </c>
      <c r="F38" s="356">
        <v>0</v>
      </c>
      <c r="G38" s="378">
        <v>0</v>
      </c>
      <c r="H38" s="58"/>
      <c r="I38" s="349"/>
      <c r="J38" s="376"/>
      <c r="K38" s="349"/>
      <c r="L38" s="350"/>
      <c r="M38" s="350"/>
      <c r="N38" s="377"/>
    </row>
    <row r="39" spans="1:16" ht="30.95" customHeight="1">
      <c r="A39" s="638"/>
      <c r="B39" s="644"/>
      <c r="C39" s="347" t="s">
        <v>146</v>
      </c>
      <c r="D39" s="347" t="s">
        <v>147</v>
      </c>
      <c r="E39" s="347">
        <f t="shared" ref="E39:G39" si="7">SUM(E37:E38)</f>
        <v>263</v>
      </c>
      <c r="F39" s="356">
        <f t="shared" si="7"/>
        <v>260</v>
      </c>
      <c r="G39" s="356">
        <f t="shared" si="7"/>
        <v>260</v>
      </c>
      <c r="H39" s="58"/>
      <c r="I39" s="349"/>
      <c r="J39" s="379"/>
      <c r="K39" s="349"/>
      <c r="L39" s="350"/>
      <c r="M39" s="350"/>
      <c r="N39" s="377"/>
    </row>
    <row r="40" spans="1:16" ht="30.95" customHeight="1">
      <c r="A40" s="638"/>
      <c r="B40" s="642" t="s">
        <v>148</v>
      </c>
      <c r="C40" s="380" t="s">
        <v>149</v>
      </c>
      <c r="D40" s="347" t="s">
        <v>150</v>
      </c>
      <c r="E40" s="347">
        <f>威高广场2月实际!I40</f>
        <v>40616.5</v>
      </c>
      <c r="F40" s="356">
        <f>'3月时间实际'!C18</f>
        <v>48990</v>
      </c>
      <c r="G40" s="356">
        <f>'3月时间实际'!C18</f>
        <v>48990</v>
      </c>
      <c r="H40" s="58"/>
      <c r="I40" s="349"/>
      <c r="J40" s="379"/>
      <c r="K40" s="349"/>
      <c r="L40" s="350"/>
      <c r="M40" s="350"/>
      <c r="N40" s="377"/>
    </row>
    <row r="41" spans="1:16" ht="30.95" customHeight="1">
      <c r="A41" s="638"/>
      <c r="B41" s="643"/>
      <c r="C41" s="380" t="s">
        <v>40</v>
      </c>
      <c r="D41" s="347" t="s">
        <v>151</v>
      </c>
      <c r="E41" s="347">
        <f>威高广场2月实际!I41</f>
        <v>4150</v>
      </c>
      <c r="F41" s="356">
        <f>'3月时间实际'!D18</f>
        <v>4910</v>
      </c>
      <c r="G41" s="356">
        <f>'3月时间实际'!D18</f>
        <v>4910</v>
      </c>
      <c r="H41" s="58"/>
      <c r="I41" s="349"/>
      <c r="J41" s="379"/>
      <c r="K41" s="349"/>
      <c r="L41" s="350"/>
      <c r="M41" s="350"/>
      <c r="N41" s="377"/>
    </row>
    <row r="42" spans="1:16" ht="30.95" customHeight="1">
      <c r="A42" s="639"/>
      <c r="B42" s="644"/>
      <c r="C42" s="347" t="s">
        <v>152</v>
      </c>
      <c r="D42" s="381" t="s">
        <v>153</v>
      </c>
      <c r="E42" s="347">
        <f>威高广场2月实际!I42</f>
        <v>44766.5</v>
      </c>
      <c r="F42" s="356">
        <f>SUM(F40:F41)</f>
        <v>53900</v>
      </c>
      <c r="G42" s="356">
        <f>SUM(G40:G41)</f>
        <v>53900</v>
      </c>
      <c r="H42" s="58"/>
      <c r="I42" s="349"/>
      <c r="J42" s="349"/>
      <c r="K42" s="349"/>
      <c r="L42" s="350"/>
      <c r="M42" s="350"/>
      <c r="N42" s="377"/>
    </row>
    <row r="43" spans="1:16" ht="30.95" customHeight="1">
      <c r="A43" s="382" t="s">
        <v>154</v>
      </c>
      <c r="B43" s="383"/>
      <c r="C43" s="384"/>
      <c r="D43" s="385" t="s">
        <v>155</v>
      </c>
      <c r="E43" s="500">
        <f t="shared" ref="E43:G43" si="8">E36/E42</f>
        <v>150.06030134140499</v>
      </c>
      <c r="F43" s="386">
        <f t="shared" si="8"/>
        <v>122.689068790901</v>
      </c>
      <c r="G43" s="386">
        <f t="shared" si="8"/>
        <v>122.708679180511</v>
      </c>
      <c r="H43" s="387"/>
      <c r="I43" s="388"/>
      <c r="J43" s="388"/>
      <c r="K43" s="388"/>
      <c r="L43" s="389"/>
      <c r="M43" s="389"/>
      <c r="N43" s="390"/>
    </row>
    <row r="44" spans="1:16" ht="41.85" customHeight="1">
      <c r="A44" s="640" t="s">
        <v>156</v>
      </c>
      <c r="B44" s="668" t="s">
        <v>157</v>
      </c>
      <c r="C44" s="669"/>
      <c r="D44" s="391" t="s">
        <v>158</v>
      </c>
      <c r="E44" s="501">
        <f>威高广场1月实际!I44</f>
        <v>1290223.5349999999</v>
      </c>
      <c r="F44" s="348">
        <v>3302214</v>
      </c>
      <c r="G44" s="348">
        <v>3303184.3</v>
      </c>
      <c r="H44" s="392"/>
      <c r="I44" s="393"/>
      <c r="J44" s="393"/>
      <c r="K44" s="394"/>
      <c r="L44" s="395"/>
      <c r="M44" s="395"/>
      <c r="N44" s="396"/>
    </row>
    <row r="45" spans="1:16" ht="30.95" customHeight="1">
      <c r="A45" s="640"/>
      <c r="B45" s="670" t="s">
        <v>159</v>
      </c>
      <c r="C45" s="671"/>
      <c r="D45" s="391"/>
      <c r="E45" s="391">
        <f>威高广场1月实际!I45</f>
        <v>18000</v>
      </c>
      <c r="F45" s="356">
        <v>50509.68</v>
      </c>
      <c r="G45" s="356">
        <v>50509.68</v>
      </c>
      <c r="H45" s="392"/>
      <c r="I45" s="393"/>
      <c r="J45" s="393"/>
      <c r="K45" s="394"/>
      <c r="L45" s="395"/>
      <c r="M45" s="395"/>
      <c r="N45" s="396"/>
    </row>
    <row r="46" spans="1:16" ht="39.950000000000003" customHeight="1">
      <c r="A46" s="641"/>
      <c r="B46" s="672" t="s">
        <v>160</v>
      </c>
      <c r="C46" s="673"/>
      <c r="D46" s="391" t="s">
        <v>158</v>
      </c>
      <c r="E46" s="502">
        <f>威高广场2月实际!I46</f>
        <v>15746300</v>
      </c>
      <c r="F46" s="397">
        <v>17186106.25</v>
      </c>
      <c r="G46" s="397">
        <v>17186106.25</v>
      </c>
      <c r="H46" s="398"/>
      <c r="I46" s="394"/>
      <c r="J46" s="394"/>
      <c r="K46" s="394"/>
      <c r="L46" s="395"/>
      <c r="M46" s="395"/>
      <c r="N46" s="396"/>
      <c r="P46" s="399"/>
    </row>
    <row r="47" spans="1:16" ht="39.950000000000003" customHeight="1">
      <c r="A47" s="641"/>
      <c r="B47" s="672" t="s">
        <v>161</v>
      </c>
      <c r="C47" s="674"/>
      <c r="D47" s="391" t="s">
        <v>158</v>
      </c>
      <c r="E47" s="503">
        <f>威高广场2月实际!I47</f>
        <v>148820000</v>
      </c>
      <c r="F47" s="400">
        <v>99168062.430000007</v>
      </c>
      <c r="G47" s="400">
        <v>99168062.430000007</v>
      </c>
      <c r="H47" s="398"/>
      <c r="I47" s="394"/>
      <c r="J47" s="394"/>
      <c r="K47" s="394"/>
      <c r="L47" s="395"/>
      <c r="M47" s="395"/>
      <c r="N47" s="396"/>
    </row>
    <row r="48" spans="1:16" ht="39.950000000000003" customHeight="1">
      <c r="A48" s="641"/>
      <c r="B48" s="668" t="s">
        <v>162</v>
      </c>
      <c r="C48" s="675"/>
      <c r="D48" s="391" t="s">
        <v>158</v>
      </c>
      <c r="E48" s="504">
        <v>5.0000000000000001E-3</v>
      </c>
      <c r="F48" s="401">
        <v>1.4999999999999999E-2</v>
      </c>
      <c r="G48" s="401">
        <v>1.4999999999999999E-2</v>
      </c>
      <c r="H48" s="398"/>
      <c r="I48" s="394"/>
      <c r="J48" s="394"/>
      <c r="K48" s="394"/>
      <c r="L48" s="395"/>
      <c r="M48" s="395"/>
      <c r="N48" s="396"/>
    </row>
    <row r="49" spans="1:13" ht="30.95" customHeight="1">
      <c r="A49" s="651" t="s">
        <v>163</v>
      </c>
      <c r="B49" s="652"/>
      <c r="C49" s="652"/>
      <c r="D49" s="652"/>
      <c r="E49" s="652"/>
      <c r="F49" s="653"/>
      <c r="G49" s="654"/>
      <c r="H49" s="719"/>
      <c r="I49" s="402"/>
      <c r="J49" s="402"/>
      <c r="K49" s="402"/>
      <c r="L49" s="403"/>
      <c r="M49" s="403"/>
    </row>
    <row r="50" spans="1:13" ht="30.95" customHeight="1">
      <c r="A50" s="645" t="s">
        <v>164</v>
      </c>
      <c r="B50" s="646"/>
      <c r="C50" s="647"/>
      <c r="D50" s="347" t="s">
        <v>165</v>
      </c>
      <c r="E50" s="356">
        <f>威高广场2月实际!E50</f>
        <v>1702226.96</v>
      </c>
      <c r="F50" s="356">
        <v>1573526.14</v>
      </c>
      <c r="G50" s="356">
        <v>1573526.14</v>
      </c>
      <c r="H50" s="404"/>
      <c r="I50" s="272"/>
      <c r="J50" s="272"/>
      <c r="K50" s="272"/>
      <c r="L50" s="405"/>
      <c r="M50" s="405"/>
    </row>
    <row r="51" spans="1:13" ht="30.95" customHeight="1">
      <c r="A51" s="648"/>
      <c r="B51" s="649"/>
      <c r="C51" s="650"/>
      <c r="D51" s="347" t="s">
        <v>166</v>
      </c>
      <c r="E51" s="356">
        <f>威高广场2月实际!E51</f>
        <v>303202.8</v>
      </c>
      <c r="F51" s="356">
        <v>302000</v>
      </c>
      <c r="G51" s="356">
        <v>302000</v>
      </c>
      <c r="H51" s="404"/>
      <c r="I51" s="272"/>
      <c r="J51" s="272"/>
      <c r="K51" s="272"/>
      <c r="L51" s="405"/>
      <c r="M51" s="405"/>
    </row>
    <row r="52" spans="1:13" ht="30.95" customHeight="1">
      <c r="A52" s="648"/>
      <c r="B52" s="649"/>
      <c r="C52" s="650"/>
      <c r="D52" s="347" t="s">
        <v>167</v>
      </c>
      <c r="E52" s="356">
        <f>威高广场2月实际!E52</f>
        <v>35352.300000000003</v>
      </c>
      <c r="F52" s="356">
        <v>352000</v>
      </c>
      <c r="G52" s="356">
        <v>352000</v>
      </c>
      <c r="H52" s="404"/>
      <c r="I52" s="272"/>
      <c r="J52" s="272"/>
      <c r="K52" s="272"/>
      <c r="L52" s="405"/>
      <c r="M52" s="405"/>
    </row>
    <row r="53" spans="1:13" ht="30.95" customHeight="1">
      <c r="A53" s="648"/>
      <c r="B53" s="649"/>
      <c r="C53" s="650"/>
      <c r="D53" s="347" t="s">
        <v>168</v>
      </c>
      <c r="E53" s="356">
        <v>3500</v>
      </c>
      <c r="F53" s="356">
        <v>0</v>
      </c>
      <c r="G53" s="356">
        <v>300</v>
      </c>
      <c r="H53" s="404"/>
      <c r="I53" s="272"/>
      <c r="J53" s="272"/>
      <c r="K53" s="272"/>
      <c r="L53" s="405"/>
      <c r="M53" s="405"/>
    </row>
    <row r="54" spans="1:13" ht="30.95" customHeight="1">
      <c r="A54" s="648"/>
      <c r="B54" s="649"/>
      <c r="C54" s="650"/>
      <c r="D54" s="347" t="s">
        <v>169</v>
      </c>
      <c r="E54" s="356">
        <v>82143.17</v>
      </c>
      <c r="F54" s="356">
        <v>365000</v>
      </c>
      <c r="G54" s="356">
        <v>96100</v>
      </c>
      <c r="H54" s="404"/>
      <c r="I54" s="272"/>
      <c r="J54" s="272"/>
      <c r="K54" s="272"/>
      <c r="L54" s="405"/>
      <c r="M54" s="405"/>
    </row>
    <row r="55" spans="1:13" ht="30.95" customHeight="1">
      <c r="A55" s="648"/>
      <c r="B55" s="649"/>
      <c r="C55" s="650"/>
      <c r="D55" s="347" t="s">
        <v>170</v>
      </c>
      <c r="E55" s="347">
        <v>172</v>
      </c>
      <c r="F55" s="356">
        <v>0</v>
      </c>
      <c r="G55" s="356">
        <v>0</v>
      </c>
      <c r="H55" s="404"/>
      <c r="I55" s="272"/>
      <c r="J55" s="272"/>
      <c r="K55" s="272"/>
      <c r="L55" s="405"/>
      <c r="M55" s="405"/>
    </row>
    <row r="56" spans="1:13" ht="30.95" customHeight="1">
      <c r="A56" s="656" t="s">
        <v>171</v>
      </c>
      <c r="B56" s="657"/>
      <c r="C56" s="658"/>
      <c r="D56" s="406" t="s">
        <v>172</v>
      </c>
      <c r="E56" s="406"/>
      <c r="F56" s="356">
        <f>SUM(F50:F54)</f>
        <v>2592526.14</v>
      </c>
      <c r="G56" s="356">
        <f>SUM(G50:G54)</f>
        <v>2323926.14</v>
      </c>
      <c r="H56" s="404"/>
      <c r="I56" s="407"/>
      <c r="J56" s="272"/>
      <c r="K56" s="272"/>
      <c r="L56" s="405"/>
      <c r="M56" s="405"/>
    </row>
    <row r="57" spans="1:13" ht="30.95" customHeight="1">
      <c r="A57" s="659" t="s">
        <v>173</v>
      </c>
      <c r="B57" s="660"/>
      <c r="C57" s="661"/>
      <c r="D57" s="347" t="s">
        <v>174</v>
      </c>
      <c r="E57" s="347"/>
      <c r="F57" s="356">
        <f>F50/F42</f>
        <v>29.193434879406301</v>
      </c>
      <c r="G57" s="356">
        <f>G50/G42</f>
        <v>29.193434879406301</v>
      </c>
      <c r="H57" s="404"/>
      <c r="I57" s="408"/>
      <c r="J57" s="272"/>
      <c r="K57" s="272"/>
      <c r="L57" s="405"/>
      <c r="M57" s="405"/>
    </row>
  </sheetData>
  <sheetProtection formatCells="0" formatColumns="0" formatRows="0" insertColumns="0" insertRows="0" insertHyperlinks="0" deleteColumns="0" deleteRows="0" sort="0" autoFilter="0" pivotTables="0"/>
  <mergeCells count="50">
    <mergeCell ref="A1:N1"/>
    <mergeCell ref="A2:C2"/>
    <mergeCell ref="B3:C3"/>
    <mergeCell ref="B4:C4"/>
    <mergeCell ref="B5:C5"/>
    <mergeCell ref="B6:C6"/>
    <mergeCell ref="B7:C7"/>
    <mergeCell ref="B8:C8"/>
    <mergeCell ref="B9:C9"/>
    <mergeCell ref="B10:C10"/>
    <mergeCell ref="B11:C11"/>
    <mergeCell ref="B12:C12"/>
    <mergeCell ref="B13:C13"/>
    <mergeCell ref="B14:C14"/>
    <mergeCell ref="A15:C15"/>
    <mergeCell ref="B17:C17"/>
    <mergeCell ref="B18:C18"/>
    <mergeCell ref="B19:C19"/>
    <mergeCell ref="B20:C20"/>
    <mergeCell ref="B21:C21"/>
    <mergeCell ref="B22:C22"/>
    <mergeCell ref="B23:C23"/>
    <mergeCell ref="B24:C24"/>
    <mergeCell ref="B25:C25"/>
    <mergeCell ref="B26:C26"/>
    <mergeCell ref="B33:C33"/>
    <mergeCell ref="B34:C34"/>
    <mergeCell ref="A35:C35"/>
    <mergeCell ref="A36:C36"/>
    <mergeCell ref="B27:C27"/>
    <mergeCell ref="B28:C28"/>
    <mergeCell ref="B29:C29"/>
    <mergeCell ref="B30:C30"/>
    <mergeCell ref="B31:C31"/>
    <mergeCell ref="A49:H49"/>
    <mergeCell ref="A56:C56"/>
    <mergeCell ref="A57:C57"/>
    <mergeCell ref="A3:A14"/>
    <mergeCell ref="A17:A34"/>
    <mergeCell ref="A37:A42"/>
    <mergeCell ref="A44:A48"/>
    <mergeCell ref="B37:B39"/>
    <mergeCell ref="B40:B42"/>
    <mergeCell ref="A50:C55"/>
    <mergeCell ref="B44:C44"/>
    <mergeCell ref="B45:C45"/>
    <mergeCell ref="B46:C46"/>
    <mergeCell ref="B47:C47"/>
    <mergeCell ref="B48:C48"/>
    <mergeCell ref="B32:C32"/>
  </mergeCells>
  <phoneticPr fontId="54" type="noConversion"/>
  <pageMargins left="0.75" right="0.75" top="1" bottom="1" header="0.5" footer="0.5"/>
  <pageSetup paperSize="9"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
  <sheetViews>
    <sheetView workbookViewId="0">
      <selection activeCell="J13" sqref="J13"/>
    </sheetView>
  </sheetViews>
  <sheetFormatPr defaultColWidth="9.625" defaultRowHeight="13.5"/>
  <cols>
    <col min="1" max="1" width="18" customWidth="1"/>
    <col min="2" max="2" width="13.375" style="322" customWidth="1"/>
    <col min="3" max="3" width="13.875" customWidth="1"/>
    <col min="4" max="4" width="10.625" customWidth="1"/>
    <col min="5" max="5" width="12.625" customWidth="1"/>
    <col min="6" max="6" width="18.875" customWidth="1"/>
  </cols>
  <sheetData>
    <row r="1" spans="1:6" ht="21" customHeight="1">
      <c r="A1" s="704" t="s">
        <v>212</v>
      </c>
      <c r="B1" s="705"/>
      <c r="C1" s="705"/>
      <c r="D1" s="705"/>
      <c r="E1" s="705"/>
      <c r="F1" s="721"/>
    </row>
    <row r="2" spans="1:6" ht="21" customHeight="1">
      <c r="A2" s="708" t="s">
        <v>183</v>
      </c>
      <c r="B2" s="709"/>
      <c r="C2" s="709"/>
      <c r="D2" s="709"/>
      <c r="E2" s="709"/>
      <c r="F2" s="722"/>
    </row>
    <row r="3" spans="1:6" ht="21" customHeight="1">
      <c r="A3" s="715" t="s">
        <v>184</v>
      </c>
      <c r="B3" s="323" t="s">
        <v>185</v>
      </c>
      <c r="C3" s="712" t="s">
        <v>185</v>
      </c>
      <c r="D3" s="712"/>
      <c r="E3" s="723" t="s">
        <v>186</v>
      </c>
      <c r="F3" s="724"/>
    </row>
    <row r="4" spans="1:6" ht="21" customHeight="1">
      <c r="A4" s="716"/>
      <c r="B4" s="324" t="s">
        <v>50</v>
      </c>
      <c r="C4" s="325" t="s">
        <v>149</v>
      </c>
      <c r="D4" s="325" t="s">
        <v>40</v>
      </c>
      <c r="E4" s="325" t="s">
        <v>149</v>
      </c>
      <c r="F4" s="325" t="s">
        <v>40</v>
      </c>
    </row>
    <row r="5" spans="1:6" ht="21" customHeight="1">
      <c r="A5" s="326" t="s">
        <v>187</v>
      </c>
      <c r="B5" s="483">
        <v>14</v>
      </c>
      <c r="C5" s="484">
        <v>2688</v>
      </c>
      <c r="D5" s="484">
        <v>80</v>
      </c>
      <c r="E5" s="485"/>
      <c r="F5" s="485"/>
    </row>
    <row r="6" spans="1:6" ht="21" customHeight="1">
      <c r="A6" s="326" t="s">
        <v>188</v>
      </c>
      <c r="B6" s="483">
        <v>5</v>
      </c>
      <c r="C6" s="486">
        <v>960</v>
      </c>
      <c r="D6" s="484">
        <v>0</v>
      </c>
      <c r="E6" s="485"/>
      <c r="F6" s="485"/>
    </row>
    <row r="7" spans="1:6" ht="21" customHeight="1">
      <c r="A7" s="326" t="s">
        <v>189</v>
      </c>
      <c r="B7" s="483">
        <v>10</v>
      </c>
      <c r="C7" s="484">
        <v>1920</v>
      </c>
      <c r="D7" s="484">
        <v>386</v>
      </c>
      <c r="E7" s="485"/>
      <c r="F7" s="485"/>
    </row>
    <row r="8" spans="1:6" ht="21" customHeight="1">
      <c r="A8" s="326" t="s">
        <v>190</v>
      </c>
      <c r="B8" s="483">
        <v>56</v>
      </c>
      <c r="C8" s="484">
        <v>10752</v>
      </c>
      <c r="D8" s="484">
        <v>100</v>
      </c>
      <c r="E8" s="485"/>
      <c r="F8" s="485"/>
    </row>
    <row r="9" spans="1:6" ht="21" customHeight="1">
      <c r="A9" s="326" t="s">
        <v>191</v>
      </c>
      <c r="B9" s="483">
        <v>10</v>
      </c>
      <c r="C9" s="484">
        <v>1920</v>
      </c>
      <c r="D9" s="484">
        <v>0</v>
      </c>
      <c r="E9" s="485"/>
      <c r="F9" s="485"/>
    </row>
    <row r="10" spans="1:6" ht="21" customHeight="1">
      <c r="A10" s="326" t="s">
        <v>192</v>
      </c>
      <c r="B10" s="483">
        <v>20</v>
      </c>
      <c r="C10" s="484">
        <v>3840</v>
      </c>
      <c r="D10" s="484"/>
      <c r="E10" s="485"/>
      <c r="F10" s="485"/>
    </row>
    <row r="11" spans="1:6" ht="21" customHeight="1">
      <c r="A11" s="326" t="s">
        <v>100</v>
      </c>
      <c r="B11" s="483">
        <v>13</v>
      </c>
      <c r="C11" s="487">
        <v>2848</v>
      </c>
      <c r="D11" s="484">
        <v>0</v>
      </c>
      <c r="E11" s="485"/>
      <c r="F11" s="485"/>
    </row>
    <row r="12" spans="1:6" ht="21" customHeight="1">
      <c r="A12" s="326" t="s">
        <v>193</v>
      </c>
      <c r="B12" s="483">
        <v>20</v>
      </c>
      <c r="C12" s="484">
        <v>3664</v>
      </c>
      <c r="D12" s="484"/>
      <c r="E12" s="485"/>
      <c r="F12" s="485"/>
    </row>
    <row r="13" spans="1:6" ht="21" customHeight="1">
      <c r="A13" s="326" t="s">
        <v>194</v>
      </c>
      <c r="B13" s="483">
        <v>28</v>
      </c>
      <c r="C13" s="484">
        <v>5232</v>
      </c>
      <c r="D13" s="484">
        <v>0</v>
      </c>
      <c r="E13" s="485"/>
      <c r="F13" s="485"/>
    </row>
    <row r="14" spans="1:6" ht="21" customHeight="1">
      <c r="A14" s="326" t="s">
        <v>195</v>
      </c>
      <c r="B14" s="484">
        <v>6</v>
      </c>
      <c r="C14" s="484">
        <v>1152</v>
      </c>
      <c r="D14" s="484">
        <v>0</v>
      </c>
      <c r="E14" s="485"/>
      <c r="F14" s="485"/>
    </row>
    <row r="15" spans="1:6" ht="21" customHeight="1">
      <c r="A15" s="326" t="s">
        <v>196</v>
      </c>
      <c r="B15" s="483">
        <v>15</v>
      </c>
      <c r="C15" s="484">
        <v>2880</v>
      </c>
      <c r="D15" s="484"/>
      <c r="E15" s="485"/>
      <c r="F15" s="485"/>
    </row>
    <row r="16" spans="1:6" ht="21" customHeight="1">
      <c r="A16" s="326" t="s">
        <v>197</v>
      </c>
      <c r="B16" s="483">
        <v>11</v>
      </c>
      <c r="C16" s="484">
        <v>1860</v>
      </c>
      <c r="D16" s="484">
        <v>586</v>
      </c>
      <c r="E16" s="485"/>
      <c r="F16" s="485"/>
    </row>
    <row r="17" spans="1:6" ht="21" customHeight="1">
      <c r="A17" s="326" t="s">
        <v>198</v>
      </c>
      <c r="B17" s="483">
        <v>51</v>
      </c>
      <c r="C17" s="484">
        <v>9274</v>
      </c>
      <c r="D17" s="484">
        <v>3758</v>
      </c>
      <c r="E17" s="485"/>
      <c r="F17" s="485"/>
    </row>
    <row r="18" spans="1:6" ht="21" customHeight="1">
      <c r="A18" s="332" t="s">
        <v>199</v>
      </c>
      <c r="B18" s="488">
        <f>SUM(B5:B17)</f>
        <v>259</v>
      </c>
      <c r="C18" s="333">
        <f>SUM(C5:C17)</f>
        <v>48990</v>
      </c>
      <c r="D18" s="333">
        <f>SUM(D5:D17)</f>
        <v>4910</v>
      </c>
      <c r="E18" s="485"/>
      <c r="F18" s="485"/>
    </row>
    <row r="19" spans="1:6" ht="21" customHeight="1">
      <c r="A19" s="326" t="s">
        <v>19</v>
      </c>
      <c r="B19" s="483">
        <v>19</v>
      </c>
      <c r="C19" s="483">
        <v>4104</v>
      </c>
      <c r="D19" s="483">
        <v>648</v>
      </c>
      <c r="E19" s="485"/>
      <c r="F19" s="485"/>
    </row>
    <row r="20" spans="1:6" ht="21" customHeight="1">
      <c r="A20" s="326" t="s">
        <v>16</v>
      </c>
      <c r="B20" s="483">
        <v>16</v>
      </c>
      <c r="C20" s="483">
        <v>3072</v>
      </c>
      <c r="D20" s="483">
        <v>672</v>
      </c>
      <c r="E20" s="485"/>
      <c r="F20" s="485"/>
    </row>
    <row r="21" spans="1:6" ht="21" customHeight="1">
      <c r="A21" s="335" t="s">
        <v>200</v>
      </c>
      <c r="B21" s="333">
        <f>SUM(B18:B20)</f>
        <v>294</v>
      </c>
      <c r="C21" s="333">
        <f>SUM(C18:C20)</f>
        <v>56166</v>
      </c>
      <c r="D21" s="333">
        <f>SUM(D18:D20)</f>
        <v>6230</v>
      </c>
      <c r="E21" s="489"/>
      <c r="F21" s="489"/>
    </row>
    <row r="22" spans="1:6" ht="30.95" customHeight="1"/>
  </sheetData>
  <sheetProtection formatCells="0" formatColumns="0" formatRows="0" insertColumns="0" insertRows="0" insertHyperlinks="0" deleteColumns="0" deleteRows="0" sort="0" autoFilter="0" pivotTables="0"/>
  <mergeCells count="5">
    <mergeCell ref="A1:F1"/>
    <mergeCell ref="A2:F2"/>
    <mergeCell ref="C3:D3"/>
    <mergeCell ref="E3:F3"/>
    <mergeCell ref="A3:A4"/>
  </mergeCells>
  <phoneticPr fontId="54" type="noConversion"/>
  <pageMargins left="0.75" right="0.75" top="1" bottom="1" header="0.5" footer="0.5"/>
  <pageSetup paperSize="9"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4"/>
  <sheetViews>
    <sheetView topLeftCell="A3" workbookViewId="0">
      <selection activeCell="E15" sqref="E15"/>
    </sheetView>
  </sheetViews>
  <sheetFormatPr defaultColWidth="9.375" defaultRowHeight="26.1" customHeight="1"/>
  <cols>
    <col min="1" max="1" width="19.625" style="411" customWidth="1"/>
    <col min="2" max="2" width="4.875" style="412" customWidth="1"/>
    <col min="3" max="3" width="20" style="413" customWidth="1"/>
    <col min="4" max="4" width="24" style="414" customWidth="1"/>
    <col min="5" max="5" width="18.375" style="414" customWidth="1"/>
    <col min="6" max="6" width="21" style="410" customWidth="1"/>
    <col min="7" max="7" width="16.625" style="410" customWidth="1"/>
    <col min="8" max="8" width="12.625" style="415" customWidth="1"/>
    <col min="9" max="14" width="19" style="410" customWidth="1"/>
    <col min="15" max="16384" width="9.375" style="410"/>
  </cols>
  <sheetData>
    <row r="1" spans="1:14" s="409" customFormat="1" ht="39.950000000000003" customHeight="1">
      <c r="A1" s="618" t="s">
        <v>213</v>
      </c>
      <c r="B1" s="618"/>
      <c r="C1" s="619"/>
      <c r="D1" s="618"/>
      <c r="E1" s="618"/>
      <c r="F1" s="618"/>
      <c r="G1" s="618"/>
      <c r="H1" s="620"/>
      <c r="I1" s="618"/>
      <c r="J1" s="618"/>
      <c r="K1" s="618"/>
      <c r="L1" s="618"/>
      <c r="M1" s="618"/>
    </row>
    <row r="2" spans="1:14" s="409" customFormat="1" ht="42" customHeight="1">
      <c r="A2" s="416" t="s">
        <v>1</v>
      </c>
      <c r="B2" s="417" t="s">
        <v>2</v>
      </c>
      <c r="C2" s="418" t="s">
        <v>3</v>
      </c>
      <c r="D2" s="419" t="s">
        <v>4</v>
      </c>
      <c r="E2" s="419" t="s">
        <v>214</v>
      </c>
      <c r="F2" s="420" t="s">
        <v>6</v>
      </c>
      <c r="G2" s="421" t="s">
        <v>7</v>
      </c>
      <c r="H2" s="422" t="s">
        <v>8</v>
      </c>
      <c r="I2" s="423" t="s">
        <v>9</v>
      </c>
      <c r="J2" s="424" t="s">
        <v>8</v>
      </c>
      <c r="K2" s="424" t="s">
        <v>10</v>
      </c>
      <c r="L2" s="425" t="s">
        <v>11</v>
      </c>
      <c r="M2" s="426" t="s">
        <v>12</v>
      </c>
      <c r="N2" s="427" t="s">
        <v>13</v>
      </c>
    </row>
    <row r="3" spans="1:14" s="409" customFormat="1" ht="26.1" customHeight="1">
      <c r="A3" s="623" t="s">
        <v>14</v>
      </c>
      <c r="B3" s="428" t="s">
        <v>15</v>
      </c>
      <c r="C3" s="429" t="s">
        <v>16</v>
      </c>
      <c r="D3" s="430" t="s">
        <v>17</v>
      </c>
      <c r="E3" s="431">
        <f>商管公司3月实际!I3</f>
        <v>0</v>
      </c>
      <c r="F3" s="431"/>
      <c r="G3" s="431"/>
      <c r="H3" s="432"/>
      <c r="I3" s="431"/>
      <c r="J3" s="433"/>
      <c r="K3" s="431"/>
      <c r="L3" s="434"/>
      <c r="M3" s="435"/>
      <c r="N3" s="436" t="e">
        <f t="shared" ref="N3:N11" si="0">F3/E3</f>
        <v>#DIV/0!</v>
      </c>
    </row>
    <row r="4" spans="1:14" s="409" customFormat="1" ht="26.1" customHeight="1">
      <c r="A4" s="623"/>
      <c r="B4" s="428" t="s">
        <v>18</v>
      </c>
      <c r="C4" s="429" t="s">
        <v>19</v>
      </c>
      <c r="D4" s="430" t="s">
        <v>17</v>
      </c>
      <c r="E4" s="431">
        <f>商管公司3月实际!I4</f>
        <v>0</v>
      </c>
      <c r="F4" s="431"/>
      <c r="G4" s="431"/>
      <c r="H4" s="432"/>
      <c r="I4" s="431"/>
      <c r="J4" s="433"/>
      <c r="K4" s="431"/>
      <c r="L4" s="434"/>
      <c r="M4" s="435"/>
      <c r="N4" s="436" t="e">
        <f t="shared" si="0"/>
        <v>#DIV/0!</v>
      </c>
    </row>
    <row r="5" spans="1:14" s="409" customFormat="1" ht="26.1" customHeight="1">
      <c r="A5" s="623"/>
      <c r="B5" s="428" t="s">
        <v>20</v>
      </c>
      <c r="C5" s="429" t="s">
        <v>21</v>
      </c>
      <c r="D5" s="430" t="s">
        <v>17</v>
      </c>
      <c r="E5" s="431">
        <f>商管公司3月实际!I5</f>
        <v>0</v>
      </c>
      <c r="F5" s="431"/>
      <c r="G5" s="431"/>
      <c r="H5" s="432"/>
      <c r="I5" s="431"/>
      <c r="J5" s="433"/>
      <c r="K5" s="431"/>
      <c r="L5" s="434"/>
      <c r="M5" s="435"/>
      <c r="N5" s="436" t="e">
        <f t="shared" si="0"/>
        <v>#DIV/0!</v>
      </c>
    </row>
    <row r="6" spans="1:14" s="409" customFormat="1" ht="26.1" customHeight="1">
      <c r="A6" s="437"/>
      <c r="B6" s="438" t="s">
        <v>22</v>
      </c>
      <c r="C6" s="439" t="s">
        <v>23</v>
      </c>
      <c r="D6" s="440" t="s">
        <v>24</v>
      </c>
      <c r="E6" s="431">
        <f>商管公司3月实际!I6</f>
        <v>0</v>
      </c>
      <c r="F6" s="441"/>
      <c r="G6" s="441"/>
      <c r="H6" s="442"/>
      <c r="I6" s="443"/>
      <c r="J6" s="433"/>
      <c r="K6" s="431"/>
      <c r="L6" s="434"/>
      <c r="M6" s="435"/>
      <c r="N6" s="436" t="e">
        <f t="shared" si="0"/>
        <v>#DIV/0!</v>
      </c>
    </row>
    <row r="7" spans="1:14" s="409" customFormat="1" ht="26.1" customHeight="1">
      <c r="A7" s="617" t="s">
        <v>25</v>
      </c>
      <c r="B7" s="445" t="s">
        <v>26</v>
      </c>
      <c r="C7" s="429" t="s">
        <v>16</v>
      </c>
      <c r="D7" s="430" t="s">
        <v>17</v>
      </c>
      <c r="E7" s="431">
        <f>商管公司3月实际!I7</f>
        <v>0</v>
      </c>
      <c r="F7" s="446"/>
      <c r="G7" s="446"/>
      <c r="H7" s="432"/>
      <c r="I7" s="431"/>
      <c r="J7" s="433"/>
      <c r="K7" s="431"/>
      <c r="L7" s="434"/>
      <c r="M7" s="435"/>
      <c r="N7" s="436" t="e">
        <f t="shared" si="0"/>
        <v>#DIV/0!</v>
      </c>
    </row>
    <row r="8" spans="1:14" s="409" customFormat="1" ht="26.1" customHeight="1">
      <c r="A8" s="617"/>
      <c r="B8" s="445" t="s">
        <v>27</v>
      </c>
      <c r="C8" s="429" t="s">
        <v>19</v>
      </c>
      <c r="D8" s="430" t="s">
        <v>17</v>
      </c>
      <c r="E8" s="431">
        <f>商管公司3月实际!I8</f>
        <v>0</v>
      </c>
      <c r="F8" s="446"/>
      <c r="G8" s="446"/>
      <c r="H8" s="432"/>
      <c r="I8" s="431"/>
      <c r="J8" s="433"/>
      <c r="K8" s="431"/>
      <c r="L8" s="434"/>
      <c r="M8" s="435"/>
      <c r="N8" s="436" t="e">
        <f t="shared" si="0"/>
        <v>#DIV/0!</v>
      </c>
    </row>
    <row r="9" spans="1:14" s="409" customFormat="1" ht="26.1" customHeight="1">
      <c r="A9" s="617"/>
      <c r="B9" s="445" t="s">
        <v>28</v>
      </c>
      <c r="C9" s="429" t="s">
        <v>21</v>
      </c>
      <c r="D9" s="430" t="s">
        <v>17</v>
      </c>
      <c r="E9" s="431">
        <f>商管公司3月实际!I9</f>
        <v>0</v>
      </c>
      <c r="F9" s="446"/>
      <c r="G9" s="446"/>
      <c r="H9" s="432"/>
      <c r="I9" s="431"/>
      <c r="J9" s="433"/>
      <c r="K9" s="431"/>
      <c r="L9" s="434"/>
      <c r="M9" s="435"/>
      <c r="N9" s="436" t="e">
        <f t="shared" si="0"/>
        <v>#DIV/0!</v>
      </c>
    </row>
    <row r="10" spans="1:14" s="409" customFormat="1" ht="26.1" customHeight="1">
      <c r="A10" s="617"/>
      <c r="B10" s="447" t="s">
        <v>29</v>
      </c>
      <c r="C10" s="448" t="s">
        <v>30</v>
      </c>
      <c r="D10" s="449" t="s">
        <v>31</v>
      </c>
      <c r="E10" s="431">
        <f>商管公司3月实际!I10</f>
        <v>0</v>
      </c>
      <c r="F10" s="450"/>
      <c r="G10" s="450"/>
      <c r="H10" s="432"/>
      <c r="I10" s="431"/>
      <c r="J10" s="433"/>
      <c r="K10" s="431"/>
      <c r="L10" s="434"/>
      <c r="M10" s="435"/>
      <c r="N10" s="436" t="e">
        <f t="shared" si="0"/>
        <v>#DIV/0!</v>
      </c>
    </row>
    <row r="11" spans="1:14" s="409" customFormat="1" ht="26.1" customHeight="1">
      <c r="A11" s="451" t="s">
        <v>32</v>
      </c>
      <c r="B11" s="438" t="s">
        <v>33</v>
      </c>
      <c r="C11" s="439" t="s">
        <v>34</v>
      </c>
      <c r="D11" s="452" t="s">
        <v>35</v>
      </c>
      <c r="E11" s="431">
        <f>商管公司3月实际!I11</f>
        <v>0</v>
      </c>
      <c r="F11" s="453"/>
      <c r="G11" s="453"/>
      <c r="H11" s="454"/>
      <c r="I11" s="455"/>
      <c r="J11" s="456"/>
      <c r="K11" s="455"/>
      <c r="L11" s="457"/>
      <c r="M11" s="458"/>
      <c r="N11" s="436" t="e">
        <f t="shared" si="0"/>
        <v>#DIV/0!</v>
      </c>
    </row>
    <row r="12" spans="1:14" s="409" customFormat="1" ht="26.1" customHeight="1">
      <c r="A12" s="624" t="s">
        <v>36</v>
      </c>
      <c r="B12" s="428" t="s">
        <v>37</v>
      </c>
      <c r="C12" s="429" t="s">
        <v>38</v>
      </c>
      <c r="D12" s="430" t="s">
        <v>17</v>
      </c>
      <c r="E12" s="431">
        <f>商管公司3月实际!I12</f>
        <v>0</v>
      </c>
      <c r="F12" s="459"/>
      <c r="G12" s="459"/>
      <c r="H12" s="460"/>
      <c r="I12" s="459"/>
      <c r="J12" s="461"/>
      <c r="K12" s="459"/>
      <c r="L12" s="462"/>
      <c r="M12" s="462"/>
    </row>
    <row r="13" spans="1:14" s="409" customFormat="1" ht="26.1" customHeight="1">
      <c r="A13" s="624"/>
      <c r="B13" s="428" t="s">
        <v>39</v>
      </c>
      <c r="C13" s="429" t="s">
        <v>40</v>
      </c>
      <c r="D13" s="430" t="s">
        <v>17</v>
      </c>
      <c r="E13" s="431">
        <f>商管公司3月实际!I13</f>
        <v>0</v>
      </c>
      <c r="F13" s="459"/>
      <c r="G13" s="459"/>
      <c r="H13" s="460"/>
      <c r="I13" s="459"/>
      <c r="J13" s="461"/>
      <c r="K13" s="459"/>
      <c r="L13" s="462"/>
      <c r="M13" s="462"/>
    </row>
    <row r="14" spans="1:14" s="409" customFormat="1" ht="26.1" customHeight="1">
      <c r="A14" s="624"/>
      <c r="B14" s="428" t="s">
        <v>41</v>
      </c>
      <c r="C14" s="429" t="s">
        <v>42</v>
      </c>
      <c r="D14" s="463" t="s">
        <v>43</v>
      </c>
      <c r="E14" s="431">
        <f>商管公司3月实际!I14</f>
        <v>0</v>
      </c>
      <c r="F14" s="459"/>
      <c r="G14" s="459"/>
      <c r="H14" s="460"/>
      <c r="I14" s="459"/>
      <c r="J14" s="461"/>
      <c r="K14" s="459"/>
      <c r="L14" s="462"/>
      <c r="M14" s="462"/>
    </row>
    <row r="15" spans="1:14" s="409" customFormat="1" ht="26.1" customHeight="1">
      <c r="A15" s="464" t="s">
        <v>44</v>
      </c>
      <c r="B15" s="438" t="s">
        <v>45</v>
      </c>
      <c r="C15" s="439" t="s">
        <v>46</v>
      </c>
      <c r="D15" s="452" t="s">
        <v>47</v>
      </c>
      <c r="E15" s="431">
        <f>商管公司3月实际!I15</f>
        <v>0</v>
      </c>
      <c r="F15" s="465"/>
      <c r="G15" s="465"/>
      <c r="H15" s="454"/>
      <c r="I15" s="455"/>
      <c r="J15" s="466"/>
      <c r="K15" s="455"/>
      <c r="L15" s="457"/>
      <c r="M15" s="457"/>
    </row>
    <row r="16" spans="1:14" s="409" customFormat="1" ht="66.95" customHeight="1">
      <c r="A16" s="444" t="s">
        <v>48</v>
      </c>
      <c r="B16" s="467" t="s">
        <v>49</v>
      </c>
      <c r="C16" s="429" t="s">
        <v>50</v>
      </c>
      <c r="D16" s="430" t="s">
        <v>17</v>
      </c>
      <c r="E16" s="468"/>
      <c r="F16" s="469"/>
      <c r="G16" s="459"/>
      <c r="H16" s="460"/>
      <c r="I16" s="459"/>
      <c r="J16" s="461"/>
      <c r="K16" s="459"/>
      <c r="L16" s="462"/>
      <c r="M16" s="462"/>
    </row>
    <row r="17" spans="1:13" s="409" customFormat="1" ht="26.1" customHeight="1">
      <c r="A17" s="617" t="s">
        <v>58</v>
      </c>
      <c r="B17" s="617"/>
      <c r="C17" s="621"/>
      <c r="D17" s="617"/>
      <c r="E17" s="617"/>
      <c r="F17" s="617"/>
      <c r="G17" s="617"/>
      <c r="H17" s="622"/>
      <c r="I17" s="617"/>
      <c r="J17" s="617"/>
      <c r="K17" s="617"/>
      <c r="L17" s="617"/>
      <c r="M17" s="617"/>
    </row>
    <row r="18" spans="1:13" s="409" customFormat="1" ht="26.1" customHeight="1">
      <c r="A18" s="617" t="s">
        <v>59</v>
      </c>
      <c r="B18" s="428" t="s">
        <v>60</v>
      </c>
      <c r="C18" s="470" t="s">
        <v>61</v>
      </c>
      <c r="D18" s="430" t="s">
        <v>62</v>
      </c>
      <c r="E18" s="471">
        <v>2179054.04</v>
      </c>
      <c r="F18" s="472"/>
      <c r="G18" s="473"/>
      <c r="H18" s="460"/>
      <c r="I18" s="474"/>
      <c r="J18" s="475"/>
      <c r="K18" s="475"/>
      <c r="L18" s="475"/>
      <c r="M18" s="475"/>
    </row>
    <row r="19" spans="1:13" s="409" customFormat="1" ht="26.1" hidden="1" customHeight="1">
      <c r="A19" s="617"/>
      <c r="B19" s="476" t="s">
        <v>63</v>
      </c>
      <c r="C19" s="470" t="s">
        <v>64</v>
      </c>
      <c r="D19" s="477" t="s">
        <v>65</v>
      </c>
      <c r="E19" s="477"/>
      <c r="F19" s="473"/>
      <c r="G19" s="475"/>
      <c r="H19" s="460" t="s">
        <v>53</v>
      </c>
      <c r="I19" s="474"/>
      <c r="J19" s="461" t="s">
        <v>53</v>
      </c>
      <c r="K19" s="475"/>
      <c r="L19" s="475"/>
      <c r="M19" s="475"/>
    </row>
    <row r="20" spans="1:13" s="409" customFormat="1" ht="26.1" hidden="1" customHeight="1">
      <c r="A20" s="617"/>
      <c r="B20" s="476" t="s">
        <v>66</v>
      </c>
      <c r="C20" s="429" t="s">
        <v>67</v>
      </c>
      <c r="D20" s="430" t="s">
        <v>68</v>
      </c>
      <c r="E20" s="430"/>
      <c r="F20" s="473"/>
      <c r="G20" s="475"/>
      <c r="H20" s="460" t="s">
        <v>53</v>
      </c>
      <c r="I20" s="474"/>
      <c r="J20" s="461" t="s">
        <v>53</v>
      </c>
      <c r="K20" s="475"/>
      <c r="L20" s="475"/>
      <c r="M20" s="475"/>
    </row>
    <row r="21" spans="1:13" ht="26.1" customHeight="1">
      <c r="A21" s="617"/>
      <c r="B21" s="476" t="s">
        <v>69</v>
      </c>
      <c r="C21" s="429" t="s">
        <v>70</v>
      </c>
      <c r="D21" s="430" t="s">
        <v>71</v>
      </c>
      <c r="E21" s="430"/>
      <c r="F21" s="473"/>
      <c r="G21" s="478"/>
      <c r="H21" s="460" t="s">
        <v>53</v>
      </c>
      <c r="I21" s="474"/>
      <c r="J21" s="461" t="s">
        <v>53</v>
      </c>
      <c r="K21" s="475"/>
      <c r="L21" s="475"/>
      <c r="M21" s="475"/>
    </row>
    <row r="22" spans="1:13" ht="26.1" customHeight="1">
      <c r="A22" s="479"/>
      <c r="B22" s="480"/>
      <c r="D22" s="410"/>
      <c r="E22" s="410"/>
      <c r="F22" s="481"/>
      <c r="G22" s="481"/>
      <c r="H22" s="482"/>
      <c r="I22" s="481"/>
      <c r="J22" s="481"/>
      <c r="K22" s="481"/>
      <c r="L22" s="481"/>
      <c r="M22" s="481"/>
    </row>
    <row r="23" spans="1:13" ht="26.1" customHeight="1">
      <c r="A23" s="479"/>
      <c r="B23" s="480"/>
      <c r="D23" s="410"/>
      <c r="E23" s="410"/>
      <c r="F23" s="481"/>
      <c r="G23" s="481"/>
      <c r="H23" s="482"/>
      <c r="I23" s="481"/>
      <c r="J23" s="481"/>
      <c r="K23" s="481"/>
      <c r="L23" s="481"/>
      <c r="M23" s="481"/>
    </row>
    <row r="24" spans="1:13" ht="26.1" customHeight="1">
      <c r="A24" s="479"/>
      <c r="B24" s="480"/>
      <c r="D24" s="410"/>
      <c r="E24" s="410"/>
      <c r="F24" s="481"/>
      <c r="G24" s="481"/>
      <c r="H24" s="482"/>
      <c r="I24" s="481"/>
      <c r="J24" s="481"/>
      <c r="K24" s="481"/>
      <c r="L24" s="481"/>
      <c r="M24" s="481"/>
    </row>
  </sheetData>
  <mergeCells count="6">
    <mergeCell ref="A18:A21"/>
    <mergeCell ref="A1:M1"/>
    <mergeCell ref="A17:M17"/>
    <mergeCell ref="A3:A5"/>
    <mergeCell ref="A7:A10"/>
    <mergeCell ref="A12:A14"/>
  </mergeCells>
  <phoneticPr fontId="54" type="noConversion"/>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7"/>
  <sheetViews>
    <sheetView topLeftCell="A19" workbookViewId="0">
      <selection activeCell="B29" sqref="B29:C29"/>
    </sheetView>
  </sheetViews>
  <sheetFormatPr defaultColWidth="9" defaultRowHeight="30.95" customHeight="1"/>
  <cols>
    <col min="1" max="1" width="7.375" customWidth="1"/>
    <col min="2" max="2" width="14" customWidth="1"/>
    <col min="3" max="3" width="13.5" customWidth="1"/>
    <col min="4" max="4" width="10.125" style="336" customWidth="1"/>
    <col min="5" max="5" width="16.375" style="336" customWidth="1"/>
    <col min="6" max="6" width="15.875" style="337" customWidth="1"/>
    <col min="7" max="7" width="17.125" style="338" customWidth="1"/>
    <col min="8" max="8" width="14.875" style="339" customWidth="1"/>
    <col min="9" max="9" width="15.75" customWidth="1"/>
    <col min="10" max="10" width="14" customWidth="1"/>
    <col min="11" max="11" width="12.25" customWidth="1"/>
    <col min="12" max="12" width="13.125" customWidth="1"/>
    <col min="13" max="13" width="14.625" customWidth="1"/>
    <col min="14" max="14" width="18.5" style="340" hidden="1" customWidth="1"/>
    <col min="16" max="16" width="16" customWidth="1"/>
  </cols>
  <sheetData>
    <row r="1" spans="1:14" ht="30.95" customHeight="1">
      <c r="A1" s="699" t="s">
        <v>215</v>
      </c>
      <c r="B1" s="699"/>
      <c r="C1" s="699"/>
      <c r="D1" s="699"/>
      <c r="E1" s="699"/>
      <c r="F1" s="700"/>
      <c r="G1" s="700"/>
      <c r="H1" s="699"/>
      <c r="I1" s="699"/>
      <c r="J1" s="699"/>
      <c r="K1" s="699"/>
      <c r="L1" s="699"/>
      <c r="M1" s="699"/>
      <c r="N1" s="702"/>
    </row>
    <row r="2" spans="1:14" s="322" customFormat="1" ht="30.95" customHeight="1">
      <c r="A2" s="703" t="s">
        <v>1</v>
      </c>
      <c r="B2" s="703"/>
      <c r="C2" s="703"/>
      <c r="D2" s="341" t="s">
        <v>4</v>
      </c>
      <c r="E2" s="342" t="s">
        <v>216</v>
      </c>
      <c r="F2" s="343" t="s">
        <v>74</v>
      </c>
      <c r="G2" s="343" t="s">
        <v>7</v>
      </c>
      <c r="H2" s="344" t="s">
        <v>75</v>
      </c>
      <c r="I2" s="345" t="s">
        <v>76</v>
      </c>
      <c r="J2" s="341" t="s">
        <v>75</v>
      </c>
      <c r="K2" s="344" t="s">
        <v>77</v>
      </c>
      <c r="L2" s="344" t="s">
        <v>78</v>
      </c>
      <c r="M2" s="344" t="s">
        <v>79</v>
      </c>
      <c r="N2" s="346" t="s">
        <v>209</v>
      </c>
    </row>
    <row r="3" spans="1:14" ht="30.95" customHeight="1">
      <c r="A3" s="634" t="s">
        <v>81</v>
      </c>
      <c r="B3" s="688" t="s">
        <v>82</v>
      </c>
      <c r="C3" s="689"/>
      <c r="D3" s="347" t="s">
        <v>15</v>
      </c>
      <c r="E3" s="348">
        <f>威高广场3月实际!I3</f>
        <v>0</v>
      </c>
      <c r="F3" s="348"/>
      <c r="G3" s="348"/>
      <c r="H3" s="58"/>
      <c r="I3" s="349"/>
      <c r="J3" s="349"/>
      <c r="K3" s="349"/>
      <c r="L3" s="350"/>
      <c r="M3" s="350"/>
      <c r="N3" s="351" t="e">
        <f t="shared" ref="N3:N24" si="0">G3/E3</f>
        <v>#DIV/0!</v>
      </c>
    </row>
    <row r="4" spans="1:14" ht="30.95" customHeight="1">
      <c r="A4" s="634"/>
      <c r="B4" s="688" t="s">
        <v>83</v>
      </c>
      <c r="C4" s="689"/>
      <c r="D4" s="347" t="s">
        <v>18</v>
      </c>
      <c r="E4" s="348">
        <f>威高广场3月实际!I4</f>
        <v>0</v>
      </c>
      <c r="F4" s="348"/>
      <c r="G4" s="348"/>
      <c r="H4" s="58"/>
      <c r="I4" s="349"/>
      <c r="J4" s="349"/>
      <c r="K4" s="349"/>
      <c r="L4" s="350"/>
      <c r="M4" s="350"/>
      <c r="N4" s="351" t="e">
        <f t="shared" si="0"/>
        <v>#DIV/0!</v>
      </c>
    </row>
    <row r="5" spans="1:14" ht="30.95" customHeight="1">
      <c r="A5" s="634"/>
      <c r="B5" s="688" t="s">
        <v>84</v>
      </c>
      <c r="C5" s="689"/>
      <c r="D5" s="347" t="s">
        <v>20</v>
      </c>
      <c r="E5" s="348">
        <f>威高广场3月实际!I5</f>
        <v>0</v>
      </c>
      <c r="F5" s="348"/>
      <c r="G5" s="348"/>
      <c r="H5" s="58"/>
      <c r="I5" s="349"/>
      <c r="J5" s="349"/>
      <c r="K5" s="349"/>
      <c r="L5" s="350"/>
      <c r="M5" s="350"/>
      <c r="N5" s="351" t="e">
        <f t="shared" si="0"/>
        <v>#DIV/0!</v>
      </c>
    </row>
    <row r="6" spans="1:14" ht="30.95" customHeight="1">
      <c r="A6" s="634"/>
      <c r="B6" s="693" t="s">
        <v>85</v>
      </c>
      <c r="C6" s="694"/>
      <c r="D6" s="352"/>
      <c r="E6" s="348">
        <f>威高广场3月实际!I6</f>
        <v>0</v>
      </c>
      <c r="F6" s="86"/>
      <c r="G6" s="86"/>
      <c r="H6" s="88"/>
      <c r="I6" s="349"/>
      <c r="J6" s="353"/>
      <c r="K6" s="353"/>
      <c r="L6" s="354"/>
      <c r="M6" s="354"/>
      <c r="N6" s="355" t="e">
        <f t="shared" si="0"/>
        <v>#DIV/0!</v>
      </c>
    </row>
    <row r="7" spans="1:14" ht="30.95" customHeight="1">
      <c r="A7" s="634"/>
      <c r="B7" s="688" t="s">
        <v>86</v>
      </c>
      <c r="C7" s="689"/>
      <c r="D7" s="347" t="s">
        <v>87</v>
      </c>
      <c r="E7" s="348">
        <f>威高广场3月实际!I7</f>
        <v>0</v>
      </c>
      <c r="F7" s="356"/>
      <c r="G7" s="356"/>
      <c r="H7" s="58"/>
      <c r="I7" s="349"/>
      <c r="J7" s="349"/>
      <c r="K7" s="349"/>
      <c r="L7" s="350"/>
      <c r="M7" s="350"/>
      <c r="N7" s="351" t="e">
        <f t="shared" si="0"/>
        <v>#DIV/0!</v>
      </c>
    </row>
    <row r="8" spans="1:14" ht="30.95" customHeight="1">
      <c r="A8" s="634"/>
      <c r="B8" s="695" t="s">
        <v>88</v>
      </c>
      <c r="C8" s="696"/>
      <c r="D8" s="347" t="s">
        <v>89</v>
      </c>
      <c r="E8" s="348">
        <f>威高广场3月实际!I8</f>
        <v>0</v>
      </c>
      <c r="F8" s="356"/>
      <c r="G8" s="356"/>
      <c r="H8" s="58"/>
      <c r="I8" s="349"/>
      <c r="J8" s="349"/>
      <c r="K8" s="349"/>
      <c r="L8" s="350"/>
      <c r="M8" s="350"/>
      <c r="N8" s="351" t="e">
        <f t="shared" si="0"/>
        <v>#DIV/0!</v>
      </c>
    </row>
    <row r="9" spans="1:14" ht="38.1" customHeight="1">
      <c r="A9" s="634"/>
      <c r="B9" s="697" t="s">
        <v>90</v>
      </c>
      <c r="C9" s="698"/>
      <c r="D9" s="347" t="s">
        <v>91</v>
      </c>
      <c r="E9" s="348">
        <f>威高广场3月实际!I9</f>
        <v>0</v>
      </c>
      <c r="F9" s="356"/>
      <c r="G9" s="356"/>
      <c r="H9" s="58"/>
      <c r="I9" s="349"/>
      <c r="J9" s="349"/>
      <c r="K9" s="349"/>
      <c r="L9" s="350"/>
      <c r="M9" s="350"/>
      <c r="N9" s="351" t="e">
        <f t="shared" si="0"/>
        <v>#DIV/0!</v>
      </c>
    </row>
    <row r="10" spans="1:14" ht="30.95" customHeight="1">
      <c r="A10" s="634"/>
      <c r="B10" s="688" t="s">
        <v>92</v>
      </c>
      <c r="C10" s="689"/>
      <c r="D10" s="347" t="s">
        <v>93</v>
      </c>
      <c r="E10" s="348">
        <f>威高广场3月实际!I10</f>
        <v>0</v>
      </c>
      <c r="F10" s="57"/>
      <c r="G10" s="57"/>
      <c r="H10" s="58"/>
      <c r="I10" s="349"/>
      <c r="J10" s="349"/>
      <c r="K10" s="349"/>
      <c r="L10" s="350"/>
      <c r="M10" s="350"/>
      <c r="N10" s="351" t="e">
        <f t="shared" si="0"/>
        <v>#DIV/0!</v>
      </c>
    </row>
    <row r="11" spans="1:14" ht="30.95" customHeight="1">
      <c r="A11" s="634"/>
      <c r="B11" s="688" t="s">
        <v>94</v>
      </c>
      <c r="C11" s="689"/>
      <c r="D11" s="347" t="s">
        <v>95</v>
      </c>
      <c r="E11" s="348">
        <f>威高广场3月实际!I11</f>
        <v>0</v>
      </c>
      <c r="F11" s="356"/>
      <c r="G11" s="356"/>
      <c r="H11" s="58"/>
      <c r="I11" s="349"/>
      <c r="J11" s="349"/>
      <c r="K11" s="349"/>
      <c r="L11" s="350"/>
      <c r="M11" s="350"/>
      <c r="N11" s="351" t="e">
        <f t="shared" si="0"/>
        <v>#DIV/0!</v>
      </c>
    </row>
    <row r="12" spans="1:14" ht="30.95" customHeight="1">
      <c r="A12" s="634"/>
      <c r="B12" s="688" t="s">
        <v>96</v>
      </c>
      <c r="C12" s="689"/>
      <c r="D12" s="347" t="s">
        <v>97</v>
      </c>
      <c r="E12" s="348">
        <f>威高广场3月实际!I12</f>
        <v>0</v>
      </c>
      <c r="F12" s="356"/>
      <c r="G12" s="356"/>
      <c r="H12" s="58"/>
      <c r="I12" s="349"/>
      <c r="J12" s="349"/>
      <c r="K12" s="349"/>
      <c r="L12" s="350"/>
      <c r="M12" s="350"/>
      <c r="N12" s="351" t="e">
        <f t="shared" si="0"/>
        <v>#DIV/0!</v>
      </c>
    </row>
    <row r="13" spans="1:14" ht="38.1" customHeight="1">
      <c r="A13" s="634"/>
      <c r="B13" s="688" t="s">
        <v>98</v>
      </c>
      <c r="C13" s="689"/>
      <c r="D13" s="347" t="s">
        <v>99</v>
      </c>
      <c r="E13" s="348">
        <f>威高广场3月实际!I13</f>
        <v>0</v>
      </c>
      <c r="F13" s="356"/>
      <c r="G13" s="356"/>
      <c r="H13" s="58"/>
      <c r="I13" s="349"/>
      <c r="J13" s="349"/>
      <c r="K13" s="349"/>
      <c r="L13" s="350"/>
      <c r="M13" s="350"/>
      <c r="N13" s="351" t="e">
        <f t="shared" si="0"/>
        <v>#DIV/0!</v>
      </c>
    </row>
    <row r="14" spans="1:14" ht="38.1" customHeight="1">
      <c r="A14" s="634"/>
      <c r="B14" s="688" t="s">
        <v>100</v>
      </c>
      <c r="C14" s="689"/>
      <c r="D14" s="347" t="s">
        <v>101</v>
      </c>
      <c r="E14" s="348">
        <f>威高广场3月实际!I14</f>
        <v>0</v>
      </c>
      <c r="F14" s="348"/>
      <c r="G14" s="348"/>
      <c r="H14" s="58"/>
      <c r="I14" s="349"/>
      <c r="J14" s="349"/>
      <c r="K14" s="349"/>
      <c r="L14" s="350"/>
      <c r="M14" s="350"/>
      <c r="N14" s="351" t="e">
        <f t="shared" si="0"/>
        <v>#DIV/0!</v>
      </c>
    </row>
    <row r="15" spans="1:14" ht="30.95" customHeight="1">
      <c r="A15" s="690" t="s">
        <v>102</v>
      </c>
      <c r="B15" s="691"/>
      <c r="C15" s="692"/>
      <c r="D15" s="352" t="s">
        <v>103</v>
      </c>
      <c r="E15" s="348">
        <f>威高广场3月实际!I15</f>
        <v>0</v>
      </c>
      <c r="F15" s="357"/>
      <c r="G15" s="357"/>
      <c r="H15" s="88"/>
      <c r="I15" s="358"/>
      <c r="J15" s="349"/>
      <c r="K15" s="349"/>
      <c r="L15" s="350"/>
      <c r="M15" s="350"/>
      <c r="N15" s="355" t="e">
        <f t="shared" si="0"/>
        <v>#DIV/0!</v>
      </c>
    </row>
    <row r="16" spans="1:14" ht="30.95" hidden="1" customHeight="1">
      <c r="A16" s="359"/>
      <c r="B16" s="360" t="s">
        <v>104</v>
      </c>
      <c r="C16" s="361"/>
      <c r="D16" s="362"/>
      <c r="E16" s="348">
        <f>威高广场3月实际!I16</f>
        <v>0</v>
      </c>
      <c r="F16" s="363"/>
      <c r="G16" s="364"/>
      <c r="H16" s="58"/>
      <c r="I16" s="365"/>
      <c r="J16" s="349"/>
      <c r="K16" s="349"/>
      <c r="L16" s="350"/>
      <c r="M16" s="350"/>
      <c r="N16" s="351" t="e">
        <f t="shared" si="0"/>
        <v>#DIV/0!</v>
      </c>
    </row>
    <row r="17" spans="1:14" ht="30.95" customHeight="1">
      <c r="A17" s="635" t="s">
        <v>105</v>
      </c>
      <c r="B17" s="686" t="s">
        <v>106</v>
      </c>
      <c r="C17" s="687"/>
      <c r="D17" s="366" t="s">
        <v>37</v>
      </c>
      <c r="E17" s="348">
        <f>威高广场3月实际!I17</f>
        <v>0</v>
      </c>
      <c r="F17" s="356"/>
      <c r="G17" s="356"/>
      <c r="H17" s="58"/>
      <c r="I17" s="349"/>
      <c r="J17" s="349"/>
      <c r="K17" s="349"/>
      <c r="L17" s="350"/>
      <c r="M17" s="350"/>
      <c r="N17" s="351" t="e">
        <f t="shared" si="0"/>
        <v>#DIV/0!</v>
      </c>
    </row>
    <row r="18" spans="1:14" ht="30.95" customHeight="1">
      <c r="A18" s="636"/>
      <c r="B18" s="686" t="s">
        <v>107</v>
      </c>
      <c r="C18" s="687"/>
      <c r="D18" s="366" t="s">
        <v>39</v>
      </c>
      <c r="E18" s="348">
        <f>威高广场3月实际!I18</f>
        <v>0</v>
      </c>
      <c r="F18" s="356"/>
      <c r="G18" s="356"/>
      <c r="H18" s="58"/>
      <c r="I18" s="349"/>
      <c r="J18" s="349"/>
      <c r="K18" s="349"/>
      <c r="L18" s="350"/>
      <c r="M18" s="350"/>
      <c r="N18" s="351" t="e">
        <f t="shared" si="0"/>
        <v>#DIV/0!</v>
      </c>
    </row>
    <row r="19" spans="1:14" ht="30.95" customHeight="1">
      <c r="A19" s="636"/>
      <c r="B19" s="686" t="s">
        <v>108</v>
      </c>
      <c r="C19" s="687"/>
      <c r="D19" s="366" t="s">
        <v>109</v>
      </c>
      <c r="E19" s="348">
        <f>威高广场3月实际!I19</f>
        <v>0</v>
      </c>
      <c r="F19" s="356"/>
      <c r="G19" s="356"/>
      <c r="H19" s="58"/>
      <c r="I19" s="349"/>
      <c r="J19" s="349"/>
      <c r="K19" s="349"/>
      <c r="L19" s="350"/>
      <c r="M19" s="350"/>
      <c r="N19" s="351" t="e">
        <f t="shared" si="0"/>
        <v>#DIV/0!</v>
      </c>
    </row>
    <row r="20" spans="1:14" ht="30.95" customHeight="1">
      <c r="A20" s="636"/>
      <c r="B20" s="686" t="s">
        <v>110</v>
      </c>
      <c r="C20" s="687"/>
      <c r="D20" s="366" t="s">
        <v>111</v>
      </c>
      <c r="E20" s="348">
        <f>威高广场3月实际!I20</f>
        <v>0</v>
      </c>
      <c r="F20" s="356"/>
      <c r="G20" s="356"/>
      <c r="H20" s="58"/>
      <c r="I20" s="349"/>
      <c r="J20" s="349"/>
      <c r="K20" s="349"/>
      <c r="L20" s="350"/>
      <c r="M20" s="350"/>
      <c r="N20" s="351" t="e">
        <f t="shared" si="0"/>
        <v>#DIV/0!</v>
      </c>
    </row>
    <row r="21" spans="1:14" ht="30.95" customHeight="1">
      <c r="A21" s="636"/>
      <c r="B21" s="686" t="s">
        <v>112</v>
      </c>
      <c r="C21" s="687"/>
      <c r="D21" s="367" t="s">
        <v>113</v>
      </c>
      <c r="E21" s="348">
        <f>威高广场3月实际!I21</f>
        <v>0</v>
      </c>
      <c r="F21" s="144"/>
      <c r="G21" s="144"/>
      <c r="H21" s="58"/>
      <c r="I21" s="349"/>
      <c r="J21" s="349"/>
      <c r="K21" s="349"/>
      <c r="L21" s="350"/>
      <c r="M21" s="350"/>
      <c r="N21" s="351" t="e">
        <f t="shared" si="0"/>
        <v>#DIV/0!</v>
      </c>
    </row>
    <row r="22" spans="1:14" ht="30.95" customHeight="1">
      <c r="A22" s="636"/>
      <c r="B22" s="686" t="s">
        <v>114</v>
      </c>
      <c r="C22" s="687"/>
      <c r="D22" s="367" t="s">
        <v>115</v>
      </c>
      <c r="E22" s="348">
        <f>威高广场3月实际!I22</f>
        <v>0</v>
      </c>
      <c r="F22" s="356"/>
      <c r="G22" s="356"/>
      <c r="H22" s="58"/>
      <c r="I22" s="349"/>
      <c r="J22" s="349"/>
      <c r="K22" s="349"/>
      <c r="L22" s="350"/>
      <c r="M22" s="350"/>
      <c r="N22" s="351" t="e">
        <f t="shared" si="0"/>
        <v>#DIV/0!</v>
      </c>
    </row>
    <row r="23" spans="1:14" ht="30.95" customHeight="1">
      <c r="A23" s="636"/>
      <c r="B23" s="686" t="s">
        <v>116</v>
      </c>
      <c r="C23" s="687"/>
      <c r="D23" s="367" t="s">
        <v>117</v>
      </c>
      <c r="E23" s="348">
        <f>威高广场3月实际!I23</f>
        <v>0</v>
      </c>
      <c r="F23" s="356"/>
      <c r="G23" s="356"/>
      <c r="H23" s="58"/>
      <c r="I23" s="349"/>
      <c r="J23" s="349"/>
      <c r="K23" s="349"/>
      <c r="L23" s="350"/>
      <c r="M23" s="350"/>
      <c r="N23" s="351" t="e">
        <f t="shared" si="0"/>
        <v>#DIV/0!</v>
      </c>
    </row>
    <row r="24" spans="1:14" ht="30.95" customHeight="1">
      <c r="A24" s="636"/>
      <c r="B24" s="684" t="s">
        <v>118</v>
      </c>
      <c r="C24" s="687"/>
      <c r="D24" s="367" t="s">
        <v>119</v>
      </c>
      <c r="E24" s="348">
        <f>威高广场3月实际!I24</f>
        <v>0</v>
      </c>
      <c r="F24" s="356"/>
      <c r="G24" s="356"/>
      <c r="H24" s="58"/>
      <c r="I24" s="349"/>
      <c r="J24" s="349"/>
      <c r="K24" s="349"/>
      <c r="L24" s="350"/>
      <c r="M24" s="350"/>
      <c r="N24" s="351" t="e">
        <f t="shared" si="0"/>
        <v>#DIV/0!</v>
      </c>
    </row>
    <row r="25" spans="1:14" ht="30.95" customHeight="1">
      <c r="A25" s="636"/>
      <c r="B25" s="686" t="s">
        <v>120</v>
      </c>
      <c r="C25" s="687"/>
      <c r="D25" s="367" t="s">
        <v>121</v>
      </c>
      <c r="E25" s="348">
        <f>威高广场3月实际!I25</f>
        <v>0</v>
      </c>
      <c r="F25" s="57"/>
      <c r="G25" s="57"/>
      <c r="H25" s="58"/>
      <c r="I25" s="349"/>
      <c r="J25" s="349"/>
      <c r="K25" s="349"/>
      <c r="L25" s="350"/>
      <c r="M25" s="350"/>
      <c r="N25" s="351" t="s">
        <v>210</v>
      </c>
    </row>
    <row r="26" spans="1:14" ht="30.95" customHeight="1">
      <c r="A26" s="636"/>
      <c r="B26" s="684" t="s">
        <v>122</v>
      </c>
      <c r="C26" s="685"/>
      <c r="D26" s="367" t="s">
        <v>123</v>
      </c>
      <c r="E26" s="348">
        <f>威高广场3月实际!I26</f>
        <v>0</v>
      </c>
      <c r="F26" s="356"/>
      <c r="G26" s="356"/>
      <c r="H26" s="58"/>
      <c r="I26" s="349"/>
      <c r="J26" s="349"/>
      <c r="K26" s="349"/>
      <c r="L26" s="350"/>
      <c r="M26" s="350"/>
      <c r="N26" s="351" t="e">
        <f t="shared" ref="N26:N29" si="1">G26/E26</f>
        <v>#DIV/0!</v>
      </c>
    </row>
    <row r="27" spans="1:14" ht="30.95" customHeight="1">
      <c r="A27" s="636"/>
      <c r="B27" s="684" t="s">
        <v>244</v>
      </c>
      <c r="C27" s="685"/>
      <c r="D27" s="367" t="s">
        <v>124</v>
      </c>
      <c r="E27" s="348">
        <f>威高广场3月实际!I27</f>
        <v>0</v>
      </c>
      <c r="F27" s="356"/>
      <c r="G27" s="356"/>
      <c r="H27" s="58"/>
      <c r="I27" s="349"/>
      <c r="J27" s="349"/>
      <c r="K27" s="349"/>
      <c r="L27" s="350"/>
      <c r="M27" s="350"/>
      <c r="N27" s="351" t="e">
        <f t="shared" si="1"/>
        <v>#DIV/0!</v>
      </c>
    </row>
    <row r="28" spans="1:14" ht="30.95" customHeight="1">
      <c r="A28" s="636"/>
      <c r="B28" s="686" t="s">
        <v>125</v>
      </c>
      <c r="C28" s="687"/>
      <c r="D28" s="367" t="s">
        <v>126</v>
      </c>
      <c r="E28" s="348">
        <f>威高广场3月实际!I28</f>
        <v>0</v>
      </c>
      <c r="F28" s="356"/>
      <c r="G28" s="356"/>
      <c r="H28" s="58"/>
      <c r="I28" s="349"/>
      <c r="J28" s="349"/>
      <c r="K28" s="349"/>
      <c r="L28" s="350"/>
      <c r="M28" s="350"/>
      <c r="N28" s="351" t="e">
        <f t="shared" si="1"/>
        <v>#DIV/0!</v>
      </c>
    </row>
    <row r="29" spans="1:14" ht="30.95" customHeight="1">
      <c r="A29" s="636"/>
      <c r="B29" s="684" t="s">
        <v>245</v>
      </c>
      <c r="C29" s="685"/>
      <c r="D29" s="367" t="s">
        <v>127</v>
      </c>
      <c r="E29" s="348">
        <f>威高广场3月实际!I29</f>
        <v>0</v>
      </c>
      <c r="F29" s="356"/>
      <c r="G29" s="356"/>
      <c r="H29" s="58"/>
      <c r="I29" s="368"/>
      <c r="J29" s="349"/>
      <c r="K29" s="349"/>
      <c r="L29" s="350"/>
      <c r="M29" s="350"/>
      <c r="N29" s="351" t="e">
        <f t="shared" si="1"/>
        <v>#DIV/0!</v>
      </c>
    </row>
    <row r="30" spans="1:14" ht="30.95" customHeight="1">
      <c r="A30" s="636"/>
      <c r="B30" s="686" t="s">
        <v>128</v>
      </c>
      <c r="C30" s="687"/>
      <c r="D30" s="367" t="s">
        <v>129</v>
      </c>
      <c r="E30" s="348">
        <f>威高广场3月实际!I30</f>
        <v>0</v>
      </c>
      <c r="F30" s="356"/>
      <c r="G30" s="356"/>
      <c r="H30" s="58"/>
      <c r="I30" s="349"/>
      <c r="J30" s="349"/>
      <c r="K30" s="349"/>
      <c r="L30" s="350"/>
      <c r="M30" s="350"/>
      <c r="N30" s="351" t="s">
        <v>211</v>
      </c>
    </row>
    <row r="31" spans="1:14" ht="30.95" customHeight="1">
      <c r="A31" s="636"/>
      <c r="B31" s="686" t="s">
        <v>130</v>
      </c>
      <c r="C31" s="687"/>
      <c r="D31" s="367" t="s">
        <v>131</v>
      </c>
      <c r="E31" s="348">
        <f>威高广场3月实际!I31</f>
        <v>0</v>
      </c>
      <c r="F31" s="356"/>
      <c r="G31" s="356"/>
      <c r="H31" s="58"/>
      <c r="I31" s="349"/>
      <c r="J31" s="349"/>
      <c r="K31" s="349"/>
      <c r="L31" s="350"/>
      <c r="M31" s="350"/>
      <c r="N31" s="351" t="e">
        <f t="shared" ref="N31:N34" si="2">G31/E31</f>
        <v>#DIV/0!</v>
      </c>
    </row>
    <row r="32" spans="1:14" ht="30.95" customHeight="1">
      <c r="A32" s="636"/>
      <c r="B32" s="676" t="s">
        <v>132</v>
      </c>
      <c r="C32" s="677"/>
      <c r="D32" s="367" t="s">
        <v>133</v>
      </c>
      <c r="E32" s="348">
        <f>威高广场3月实际!I32</f>
        <v>0</v>
      </c>
      <c r="F32" s="356"/>
      <c r="G32" s="356"/>
      <c r="H32" s="58"/>
      <c r="I32" s="349"/>
      <c r="J32" s="349"/>
      <c r="K32" s="349"/>
      <c r="L32" s="350"/>
      <c r="M32" s="350"/>
      <c r="N32" s="351" t="e">
        <f t="shared" si="2"/>
        <v>#DIV/0!</v>
      </c>
    </row>
    <row r="33" spans="1:16" ht="30.95" customHeight="1">
      <c r="A33" s="636"/>
      <c r="B33" s="678" t="s">
        <v>134</v>
      </c>
      <c r="C33" s="679"/>
      <c r="D33" s="367" t="s">
        <v>135</v>
      </c>
      <c r="E33" s="348">
        <f>威高广场3月实际!I33</f>
        <v>0</v>
      </c>
      <c r="F33" s="356"/>
      <c r="G33" s="356"/>
      <c r="H33" s="58"/>
      <c r="I33" s="349"/>
      <c r="J33" s="349"/>
      <c r="K33" s="349"/>
      <c r="L33" s="350"/>
      <c r="M33" s="350"/>
      <c r="N33" s="351" t="e">
        <f t="shared" si="2"/>
        <v>#DIV/0!</v>
      </c>
    </row>
    <row r="34" spans="1:16" ht="30.95" customHeight="1">
      <c r="A34" s="636"/>
      <c r="B34" s="678" t="s">
        <v>136</v>
      </c>
      <c r="C34" s="679"/>
      <c r="D34" s="367" t="s">
        <v>137</v>
      </c>
      <c r="E34" s="348">
        <f>威高广场3月实际!I34</f>
        <v>0</v>
      </c>
      <c r="F34" s="356"/>
      <c r="G34" s="356"/>
      <c r="H34" s="58"/>
      <c r="I34" s="349"/>
      <c r="J34" s="349"/>
      <c r="K34" s="349"/>
      <c r="L34" s="350"/>
      <c r="M34" s="350"/>
      <c r="N34" s="351" t="e">
        <f t="shared" si="2"/>
        <v>#DIV/0!</v>
      </c>
    </row>
    <row r="35" spans="1:16" ht="30.95" customHeight="1">
      <c r="A35" s="680" t="s">
        <v>30</v>
      </c>
      <c r="B35" s="680"/>
      <c r="C35" s="680"/>
      <c r="D35" s="369" t="s">
        <v>45</v>
      </c>
      <c r="E35" s="348">
        <f>威高广场3月实际!I35</f>
        <v>0</v>
      </c>
      <c r="F35" s="370"/>
      <c r="G35" s="370"/>
      <c r="H35" s="371"/>
      <c r="I35" s="353"/>
      <c r="J35" s="353"/>
      <c r="K35" s="353"/>
      <c r="L35" s="354"/>
      <c r="M35" s="354"/>
      <c r="N35" s="372"/>
    </row>
    <row r="36" spans="1:16" ht="30.95" customHeight="1">
      <c r="A36" s="681" t="s">
        <v>138</v>
      </c>
      <c r="B36" s="682"/>
      <c r="C36" s="683"/>
      <c r="D36" s="373" t="s">
        <v>139</v>
      </c>
      <c r="E36" s="348">
        <f>威高广场3月实际!I36</f>
        <v>0</v>
      </c>
      <c r="F36" s="370"/>
      <c r="G36" s="370"/>
      <c r="H36" s="374"/>
      <c r="I36" s="353"/>
      <c r="J36" s="375"/>
      <c r="K36" s="353"/>
      <c r="L36" s="354"/>
      <c r="M36" s="354"/>
      <c r="N36" s="372"/>
    </row>
    <row r="37" spans="1:16" ht="30.95" customHeight="1">
      <c r="A37" s="637" t="s">
        <v>140</v>
      </c>
      <c r="B37" s="642" t="s">
        <v>141</v>
      </c>
      <c r="C37" s="347" t="s">
        <v>142</v>
      </c>
      <c r="D37" s="347" t="s">
        <v>143</v>
      </c>
      <c r="E37" s="348">
        <f>威高广场3月实际!I37</f>
        <v>0</v>
      </c>
      <c r="F37" s="356"/>
      <c r="G37" s="356"/>
      <c r="H37" s="58"/>
      <c r="I37" s="349"/>
      <c r="J37" s="376"/>
      <c r="K37" s="349"/>
      <c r="L37" s="350"/>
      <c r="M37" s="350"/>
      <c r="N37" s="377"/>
    </row>
    <row r="38" spans="1:16" ht="30.95" customHeight="1">
      <c r="A38" s="638"/>
      <c r="B38" s="643"/>
      <c r="C38" s="347" t="s">
        <v>144</v>
      </c>
      <c r="D38" s="347" t="s">
        <v>145</v>
      </c>
      <c r="E38" s="348">
        <f>威高广场3月实际!I38</f>
        <v>0</v>
      </c>
      <c r="F38" s="356"/>
      <c r="G38" s="378"/>
      <c r="H38" s="58"/>
      <c r="I38" s="349"/>
      <c r="J38" s="376"/>
      <c r="K38" s="349"/>
      <c r="L38" s="350"/>
      <c r="M38" s="350"/>
      <c r="N38" s="377"/>
    </row>
    <row r="39" spans="1:16" ht="30.95" customHeight="1">
      <c r="A39" s="638"/>
      <c r="B39" s="644"/>
      <c r="C39" s="347" t="s">
        <v>146</v>
      </c>
      <c r="D39" s="347" t="s">
        <v>147</v>
      </c>
      <c r="E39" s="348">
        <f>威高广场3月实际!I39</f>
        <v>0</v>
      </c>
      <c r="F39" s="356"/>
      <c r="G39" s="356"/>
      <c r="H39" s="58"/>
      <c r="I39" s="349"/>
      <c r="J39" s="379"/>
      <c r="K39" s="349"/>
      <c r="L39" s="350"/>
      <c r="M39" s="350"/>
      <c r="N39" s="377"/>
    </row>
    <row r="40" spans="1:16" ht="30.95" customHeight="1">
      <c r="A40" s="638"/>
      <c r="B40" s="642" t="s">
        <v>148</v>
      </c>
      <c r="C40" s="380" t="s">
        <v>149</v>
      </c>
      <c r="D40" s="347" t="s">
        <v>150</v>
      </c>
      <c r="E40" s="348">
        <f>威高广场3月实际!I40</f>
        <v>0</v>
      </c>
      <c r="F40" s="356"/>
      <c r="G40" s="356"/>
      <c r="H40" s="58"/>
      <c r="I40" s="349"/>
      <c r="J40" s="379"/>
      <c r="K40" s="349"/>
      <c r="L40" s="350"/>
      <c r="M40" s="350"/>
      <c r="N40" s="377"/>
    </row>
    <row r="41" spans="1:16" ht="30.95" customHeight="1">
      <c r="A41" s="638"/>
      <c r="B41" s="643"/>
      <c r="C41" s="380" t="s">
        <v>40</v>
      </c>
      <c r="D41" s="347" t="s">
        <v>151</v>
      </c>
      <c r="E41" s="348">
        <f>威高广场3月实际!I41</f>
        <v>0</v>
      </c>
      <c r="F41" s="356"/>
      <c r="G41" s="356"/>
      <c r="H41" s="58"/>
      <c r="I41" s="349"/>
      <c r="J41" s="379"/>
      <c r="K41" s="349"/>
      <c r="L41" s="350"/>
      <c r="M41" s="350"/>
      <c r="N41" s="377"/>
    </row>
    <row r="42" spans="1:16" ht="30.95" customHeight="1">
      <c r="A42" s="639"/>
      <c r="B42" s="644"/>
      <c r="C42" s="347" t="s">
        <v>152</v>
      </c>
      <c r="D42" s="381" t="s">
        <v>153</v>
      </c>
      <c r="E42" s="348">
        <f>威高广场3月实际!I42</f>
        <v>0</v>
      </c>
      <c r="F42" s="356"/>
      <c r="G42" s="356"/>
      <c r="H42" s="58"/>
      <c r="I42" s="349"/>
      <c r="J42" s="349"/>
      <c r="K42" s="349"/>
      <c r="L42" s="350"/>
      <c r="M42" s="350"/>
      <c r="N42" s="377"/>
    </row>
    <row r="43" spans="1:16" ht="30.95" customHeight="1">
      <c r="A43" s="382" t="s">
        <v>154</v>
      </c>
      <c r="B43" s="383"/>
      <c r="C43" s="384"/>
      <c r="D43" s="385" t="s">
        <v>155</v>
      </c>
      <c r="E43" s="348">
        <f>威高广场3月实际!I43</f>
        <v>0</v>
      </c>
      <c r="F43" s="386" t="e">
        <f t="shared" ref="F43:G43" si="3">F36/F42</f>
        <v>#DIV/0!</v>
      </c>
      <c r="G43" s="386" t="e">
        <f t="shared" si="3"/>
        <v>#DIV/0!</v>
      </c>
      <c r="H43" s="387"/>
      <c r="I43" s="388"/>
      <c r="J43" s="388"/>
      <c r="K43" s="388" t="e">
        <f>I43-G43</f>
        <v>#DIV/0!</v>
      </c>
      <c r="L43" s="389" t="e">
        <f>I43/G43</f>
        <v>#DIV/0!</v>
      </c>
      <c r="M43" s="389" t="e">
        <f>I43/F43</f>
        <v>#DIV/0!</v>
      </c>
      <c r="N43" s="390"/>
    </row>
    <row r="44" spans="1:16" ht="41.85" customHeight="1">
      <c r="A44" s="640" t="s">
        <v>156</v>
      </c>
      <c r="B44" s="668" t="s">
        <v>157</v>
      </c>
      <c r="C44" s="669"/>
      <c r="D44" s="391" t="s">
        <v>158</v>
      </c>
      <c r="E44" s="348">
        <f>威高广场3月实际!I44</f>
        <v>0</v>
      </c>
      <c r="F44" s="348"/>
      <c r="G44" s="348"/>
      <c r="H44" s="392"/>
      <c r="I44" s="393"/>
      <c r="J44" s="393"/>
      <c r="K44" s="394"/>
      <c r="L44" s="395"/>
      <c r="M44" s="395"/>
      <c r="N44" s="396"/>
    </row>
    <row r="45" spans="1:16" ht="30.95" customHeight="1">
      <c r="A45" s="640"/>
      <c r="B45" s="670" t="s">
        <v>159</v>
      </c>
      <c r="C45" s="671"/>
      <c r="D45" s="391"/>
      <c r="E45" s="348">
        <f>威高广场3月实际!I45</f>
        <v>0</v>
      </c>
      <c r="F45" s="356"/>
      <c r="G45" s="356"/>
      <c r="H45" s="392"/>
      <c r="I45" s="393"/>
      <c r="J45" s="393"/>
      <c r="K45" s="394"/>
      <c r="L45" s="395"/>
      <c r="M45" s="395"/>
      <c r="N45" s="396"/>
    </row>
    <row r="46" spans="1:16" ht="39.950000000000003" customHeight="1">
      <c r="A46" s="641"/>
      <c r="B46" s="672" t="s">
        <v>160</v>
      </c>
      <c r="C46" s="673"/>
      <c r="D46" s="391" t="s">
        <v>158</v>
      </c>
      <c r="E46" s="348">
        <f>威高广场3月实际!I46</f>
        <v>0</v>
      </c>
      <c r="F46" s="397"/>
      <c r="G46" s="397"/>
      <c r="H46" s="398"/>
      <c r="I46" s="394"/>
      <c r="J46" s="394"/>
      <c r="K46" s="394"/>
      <c r="L46" s="395"/>
      <c r="M46" s="395"/>
      <c r="N46" s="396"/>
      <c r="P46" s="399"/>
    </row>
    <row r="47" spans="1:16" ht="39.950000000000003" customHeight="1">
      <c r="A47" s="641"/>
      <c r="B47" s="672" t="s">
        <v>161</v>
      </c>
      <c r="C47" s="674"/>
      <c r="D47" s="391" t="s">
        <v>158</v>
      </c>
      <c r="E47" s="348">
        <f>威高广场3月实际!I47</f>
        <v>0</v>
      </c>
      <c r="F47" s="400"/>
      <c r="G47" s="400"/>
      <c r="H47" s="398"/>
      <c r="I47" s="394"/>
      <c r="J47" s="394"/>
      <c r="K47" s="394"/>
      <c r="L47" s="395"/>
      <c r="M47" s="395"/>
      <c r="N47" s="396"/>
    </row>
    <row r="48" spans="1:16" ht="39.950000000000003" customHeight="1">
      <c r="A48" s="641"/>
      <c r="B48" s="668" t="s">
        <v>162</v>
      </c>
      <c r="C48" s="675"/>
      <c r="D48" s="391" t="s">
        <v>158</v>
      </c>
      <c r="E48" s="348">
        <f>威高广场3月实际!I48</f>
        <v>0</v>
      </c>
      <c r="F48" s="401"/>
      <c r="G48" s="401"/>
      <c r="H48" s="398"/>
      <c r="I48" s="394"/>
      <c r="J48" s="394"/>
      <c r="K48" s="394"/>
      <c r="L48" s="395"/>
      <c r="M48" s="395"/>
      <c r="N48" s="396"/>
    </row>
    <row r="49" spans="1:13" ht="30.95" customHeight="1">
      <c r="A49" s="651" t="s">
        <v>163</v>
      </c>
      <c r="B49" s="652"/>
      <c r="C49" s="652"/>
      <c r="D49" s="652"/>
      <c r="E49" s="652"/>
      <c r="F49" s="653"/>
      <c r="G49" s="654"/>
      <c r="H49" s="719"/>
      <c r="I49" s="402"/>
      <c r="J49" s="402"/>
      <c r="K49" s="402"/>
      <c r="L49" s="403"/>
      <c r="M49" s="403"/>
    </row>
    <row r="50" spans="1:13" ht="30.95" customHeight="1">
      <c r="A50" s="645" t="s">
        <v>164</v>
      </c>
      <c r="B50" s="646"/>
      <c r="C50" s="647"/>
      <c r="D50" s="347" t="s">
        <v>165</v>
      </c>
      <c r="E50" s="356">
        <f>威高广场3月实际!I50</f>
        <v>0</v>
      </c>
      <c r="F50" s="356"/>
      <c r="G50" s="356"/>
      <c r="H50" s="404"/>
      <c r="I50" s="272"/>
      <c r="J50" s="272"/>
      <c r="K50" s="272"/>
      <c r="L50" s="405"/>
      <c r="M50" s="405"/>
    </row>
    <row r="51" spans="1:13" ht="30.95" customHeight="1">
      <c r="A51" s="648"/>
      <c r="B51" s="649"/>
      <c r="C51" s="650"/>
      <c r="D51" s="347" t="s">
        <v>166</v>
      </c>
      <c r="E51" s="356">
        <f>威高广场3月实际!I51</f>
        <v>0</v>
      </c>
      <c r="F51" s="356"/>
      <c r="G51" s="356"/>
      <c r="H51" s="404"/>
      <c r="I51" s="272"/>
      <c r="J51" s="272"/>
      <c r="K51" s="272"/>
      <c r="L51" s="405"/>
      <c r="M51" s="405"/>
    </row>
    <row r="52" spans="1:13" ht="30.95" customHeight="1">
      <c r="A52" s="648"/>
      <c r="B52" s="649"/>
      <c r="C52" s="650"/>
      <c r="D52" s="347" t="s">
        <v>167</v>
      </c>
      <c r="E52" s="356">
        <f>威高广场3月实际!I52</f>
        <v>0</v>
      </c>
      <c r="F52" s="356"/>
      <c r="G52" s="356"/>
      <c r="H52" s="404"/>
      <c r="I52" s="272"/>
      <c r="J52" s="272"/>
      <c r="K52" s="272"/>
      <c r="L52" s="405"/>
      <c r="M52" s="405"/>
    </row>
    <row r="53" spans="1:13" ht="30.95" customHeight="1">
      <c r="A53" s="648"/>
      <c r="B53" s="649"/>
      <c r="C53" s="650"/>
      <c r="D53" s="347" t="s">
        <v>168</v>
      </c>
      <c r="E53" s="356">
        <f>威高广场3月实际!I53</f>
        <v>0</v>
      </c>
      <c r="F53" s="356"/>
      <c r="G53" s="356"/>
      <c r="H53" s="404"/>
      <c r="I53" s="272"/>
      <c r="J53" s="272"/>
      <c r="K53" s="272"/>
      <c r="L53" s="405"/>
      <c r="M53" s="405"/>
    </row>
    <row r="54" spans="1:13" ht="30.95" customHeight="1">
      <c r="A54" s="648"/>
      <c r="B54" s="649"/>
      <c r="C54" s="650"/>
      <c r="D54" s="347" t="s">
        <v>169</v>
      </c>
      <c r="E54" s="356">
        <f>威高广场3月实际!I54</f>
        <v>0</v>
      </c>
      <c r="F54" s="356"/>
      <c r="G54" s="356"/>
      <c r="H54" s="404"/>
      <c r="I54" s="272"/>
      <c r="J54" s="272"/>
      <c r="K54" s="272"/>
      <c r="L54" s="405"/>
      <c r="M54" s="405"/>
    </row>
    <row r="55" spans="1:13" ht="30.95" customHeight="1">
      <c r="A55" s="648"/>
      <c r="B55" s="649"/>
      <c r="C55" s="650"/>
      <c r="D55" s="347" t="s">
        <v>170</v>
      </c>
      <c r="E55" s="356">
        <f>威高广场3月实际!I55</f>
        <v>0</v>
      </c>
      <c r="F55" s="356">
        <v>0</v>
      </c>
      <c r="G55" s="356">
        <v>0</v>
      </c>
      <c r="H55" s="404"/>
      <c r="I55" s="272"/>
      <c r="J55" s="272"/>
      <c r="K55" s="272"/>
      <c r="L55" s="405"/>
      <c r="M55" s="405"/>
    </row>
    <row r="56" spans="1:13" ht="30.95" customHeight="1">
      <c r="A56" s="656" t="s">
        <v>171</v>
      </c>
      <c r="B56" s="657"/>
      <c r="C56" s="658"/>
      <c r="D56" s="406" t="s">
        <v>172</v>
      </c>
      <c r="E56" s="356">
        <f>威高广场3月实际!I56</f>
        <v>0</v>
      </c>
      <c r="F56" s="356">
        <f>SUM(F50:F54)</f>
        <v>0</v>
      </c>
      <c r="G56" s="356">
        <f>SUM(G50:G54)</f>
        <v>0</v>
      </c>
      <c r="H56" s="404"/>
      <c r="I56" s="407"/>
      <c r="J56" s="272"/>
      <c r="K56" s="272"/>
      <c r="L56" s="405"/>
      <c r="M56" s="405"/>
    </row>
    <row r="57" spans="1:13" ht="30.95" customHeight="1">
      <c r="A57" s="659" t="s">
        <v>173</v>
      </c>
      <c r="B57" s="660"/>
      <c r="C57" s="661"/>
      <c r="D57" s="347" t="s">
        <v>174</v>
      </c>
      <c r="E57" s="356">
        <f>威高广场3月实际!I57</f>
        <v>0</v>
      </c>
      <c r="F57" s="356" t="e">
        <f>F50/F42</f>
        <v>#DIV/0!</v>
      </c>
      <c r="G57" s="356" t="e">
        <f>G50/G42</f>
        <v>#DIV/0!</v>
      </c>
      <c r="H57" s="404"/>
      <c r="I57" s="408"/>
      <c r="J57" s="272"/>
      <c r="K57" s="272"/>
      <c r="L57" s="405"/>
      <c r="M57" s="405"/>
    </row>
  </sheetData>
  <mergeCells count="50">
    <mergeCell ref="A1:N1"/>
    <mergeCell ref="A2:C2"/>
    <mergeCell ref="B3:C3"/>
    <mergeCell ref="B4:C4"/>
    <mergeCell ref="B5:C5"/>
    <mergeCell ref="B6:C6"/>
    <mergeCell ref="B7:C7"/>
    <mergeCell ref="B8:C8"/>
    <mergeCell ref="B9:C9"/>
    <mergeCell ref="B10:C10"/>
    <mergeCell ref="B11:C11"/>
    <mergeCell ref="B12:C12"/>
    <mergeCell ref="B13:C13"/>
    <mergeCell ref="B14:C14"/>
    <mergeCell ref="A15:C15"/>
    <mergeCell ref="B17:C17"/>
    <mergeCell ref="B18:C18"/>
    <mergeCell ref="B19:C19"/>
    <mergeCell ref="B20:C20"/>
    <mergeCell ref="B21:C21"/>
    <mergeCell ref="B22:C22"/>
    <mergeCell ref="B23:C23"/>
    <mergeCell ref="B24:C24"/>
    <mergeCell ref="B25:C25"/>
    <mergeCell ref="B26:C26"/>
    <mergeCell ref="B33:C33"/>
    <mergeCell ref="B34:C34"/>
    <mergeCell ref="A35:C35"/>
    <mergeCell ref="A36:C36"/>
    <mergeCell ref="B27:C27"/>
    <mergeCell ref="B28:C28"/>
    <mergeCell ref="B29:C29"/>
    <mergeCell ref="B30:C30"/>
    <mergeCell ref="B31:C31"/>
    <mergeCell ref="A49:H49"/>
    <mergeCell ref="A56:C56"/>
    <mergeCell ref="A57:C57"/>
    <mergeCell ref="A3:A14"/>
    <mergeCell ref="A17:A34"/>
    <mergeCell ref="A37:A42"/>
    <mergeCell ref="A44:A48"/>
    <mergeCell ref="B37:B39"/>
    <mergeCell ref="B40:B42"/>
    <mergeCell ref="A50:C55"/>
    <mergeCell ref="B44:C44"/>
    <mergeCell ref="B45:C45"/>
    <mergeCell ref="B46:C46"/>
    <mergeCell ref="B47:C47"/>
    <mergeCell ref="B48:C48"/>
    <mergeCell ref="B32:C32"/>
  </mergeCells>
  <phoneticPr fontId="54" type="noConversion"/>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2"/>
  <sheetViews>
    <sheetView topLeftCell="A9" workbookViewId="0">
      <selection activeCell="C24" sqref="C24"/>
    </sheetView>
  </sheetViews>
  <sheetFormatPr defaultColWidth="9.625" defaultRowHeight="13.5"/>
  <cols>
    <col min="1" max="1" width="18" customWidth="1"/>
    <col min="2" max="2" width="13.375" style="322" customWidth="1"/>
    <col min="3" max="3" width="13.875" customWidth="1"/>
    <col min="4" max="4" width="10.625" customWidth="1"/>
    <col min="5" max="5" width="12.625" customWidth="1"/>
    <col min="6" max="6" width="18.875" customWidth="1"/>
  </cols>
  <sheetData>
    <row r="1" spans="1:6" ht="21" customHeight="1">
      <c r="A1" s="704" t="s">
        <v>217</v>
      </c>
      <c r="B1" s="705"/>
      <c r="C1" s="705"/>
      <c r="D1" s="705"/>
      <c r="E1" s="705"/>
      <c r="F1" s="721"/>
    </row>
    <row r="2" spans="1:6" ht="21" customHeight="1">
      <c r="A2" s="708" t="s">
        <v>183</v>
      </c>
      <c r="B2" s="709"/>
      <c r="C2" s="709"/>
      <c r="D2" s="709"/>
      <c r="E2" s="709"/>
      <c r="F2" s="722"/>
    </row>
    <row r="3" spans="1:6" ht="21" customHeight="1">
      <c r="A3" s="715" t="s">
        <v>184</v>
      </c>
      <c r="B3" s="323" t="s">
        <v>185</v>
      </c>
      <c r="C3" s="712" t="s">
        <v>185</v>
      </c>
      <c r="D3" s="712"/>
      <c r="E3" s="723" t="s">
        <v>186</v>
      </c>
      <c r="F3" s="724"/>
    </row>
    <row r="4" spans="1:6" ht="21" customHeight="1">
      <c r="A4" s="716"/>
      <c r="B4" s="324" t="s">
        <v>50</v>
      </c>
      <c r="C4" s="325" t="s">
        <v>149</v>
      </c>
      <c r="D4" s="325" t="s">
        <v>40</v>
      </c>
      <c r="E4" s="325" t="s">
        <v>149</v>
      </c>
      <c r="F4" s="325" t="s">
        <v>40</v>
      </c>
    </row>
    <row r="5" spans="1:6" ht="21" customHeight="1">
      <c r="A5" s="326" t="s">
        <v>187</v>
      </c>
      <c r="B5" s="327"/>
      <c r="C5" s="328"/>
      <c r="D5" s="328"/>
      <c r="E5" s="329"/>
      <c r="F5" s="329"/>
    </row>
    <row r="6" spans="1:6" ht="21" customHeight="1">
      <c r="A6" s="326" t="s">
        <v>188</v>
      </c>
      <c r="B6" s="327"/>
      <c r="C6" s="330"/>
      <c r="D6" s="328"/>
      <c r="E6" s="329"/>
      <c r="F6" s="329"/>
    </row>
    <row r="7" spans="1:6" ht="21" customHeight="1">
      <c r="A7" s="326" t="s">
        <v>189</v>
      </c>
      <c r="B7" s="327"/>
      <c r="C7" s="328"/>
      <c r="D7" s="328"/>
      <c r="E7" s="329"/>
      <c r="F7" s="329"/>
    </row>
    <row r="8" spans="1:6" ht="21" customHeight="1">
      <c r="A8" s="326" t="s">
        <v>190</v>
      </c>
      <c r="B8" s="327"/>
      <c r="C8" s="328"/>
      <c r="D8" s="328"/>
      <c r="E8" s="329"/>
      <c r="F8" s="329"/>
    </row>
    <row r="9" spans="1:6" ht="21" customHeight="1">
      <c r="A9" s="326" t="s">
        <v>191</v>
      </c>
      <c r="B9" s="327"/>
      <c r="C9" s="328"/>
      <c r="D9" s="328"/>
      <c r="E9" s="329"/>
      <c r="F9" s="329"/>
    </row>
    <row r="10" spans="1:6" ht="21" customHeight="1">
      <c r="A10" s="326" t="s">
        <v>192</v>
      </c>
      <c r="B10" s="327"/>
      <c r="C10" s="328"/>
      <c r="D10" s="328"/>
      <c r="E10" s="329"/>
      <c r="F10" s="329"/>
    </row>
    <row r="11" spans="1:6" ht="21" customHeight="1">
      <c r="A11" s="326" t="s">
        <v>100</v>
      </c>
      <c r="B11" s="327"/>
      <c r="C11" s="331"/>
      <c r="D11" s="328"/>
      <c r="E11" s="329"/>
      <c r="F11" s="329"/>
    </row>
    <row r="12" spans="1:6" ht="21" customHeight="1">
      <c r="A12" s="326" t="s">
        <v>193</v>
      </c>
      <c r="B12" s="327"/>
      <c r="C12" s="328"/>
      <c r="D12" s="328"/>
      <c r="E12" s="329"/>
      <c r="F12" s="329"/>
    </row>
    <row r="13" spans="1:6" ht="21" customHeight="1">
      <c r="A13" s="326" t="s">
        <v>194</v>
      </c>
      <c r="B13" s="327"/>
      <c r="C13" s="328"/>
      <c r="D13" s="328"/>
      <c r="E13" s="329"/>
      <c r="F13" s="329"/>
    </row>
    <row r="14" spans="1:6" ht="21" customHeight="1">
      <c r="A14" s="326" t="s">
        <v>195</v>
      </c>
      <c r="B14" s="328"/>
      <c r="C14" s="328"/>
      <c r="D14" s="328"/>
      <c r="E14" s="329"/>
      <c r="F14" s="329"/>
    </row>
    <row r="15" spans="1:6" ht="21" customHeight="1">
      <c r="A15" s="326" t="s">
        <v>196</v>
      </c>
      <c r="B15" s="327"/>
      <c r="C15" s="328"/>
      <c r="D15" s="328"/>
      <c r="E15" s="329"/>
      <c r="F15" s="329"/>
    </row>
    <row r="16" spans="1:6" ht="21" customHeight="1">
      <c r="A16" s="326" t="s">
        <v>197</v>
      </c>
      <c r="B16" s="327"/>
      <c r="C16" s="328"/>
      <c r="D16" s="328"/>
      <c r="E16" s="329"/>
      <c r="F16" s="329"/>
    </row>
    <row r="17" spans="1:6" ht="21" customHeight="1">
      <c r="A17" s="326" t="s">
        <v>198</v>
      </c>
      <c r="B17" s="327"/>
      <c r="C17" s="328"/>
      <c r="D17" s="328"/>
      <c r="E17" s="329"/>
      <c r="F17" s="329"/>
    </row>
    <row r="18" spans="1:6" ht="21" customHeight="1">
      <c r="A18" s="332" t="s">
        <v>199</v>
      </c>
      <c r="B18" s="333">
        <f>SUM(B5:B17)</f>
        <v>0</v>
      </c>
      <c r="C18" s="333">
        <f>SUM(C5:C17)</f>
        <v>0</v>
      </c>
      <c r="D18" s="333">
        <f>SUM(D5:D17)</f>
        <v>0</v>
      </c>
      <c r="E18" s="334"/>
      <c r="F18" s="334"/>
    </row>
    <row r="19" spans="1:6" ht="21" customHeight="1">
      <c r="A19" s="326" t="s">
        <v>19</v>
      </c>
      <c r="B19" s="327"/>
      <c r="C19" s="327"/>
      <c r="D19" s="327"/>
      <c r="E19" s="329"/>
      <c r="F19" s="329"/>
    </row>
    <row r="20" spans="1:6" ht="21" customHeight="1">
      <c r="A20" s="326" t="s">
        <v>16</v>
      </c>
      <c r="B20" s="327"/>
      <c r="C20" s="327"/>
      <c r="D20" s="327"/>
      <c r="E20" s="329"/>
      <c r="F20" s="329"/>
    </row>
    <row r="21" spans="1:6" ht="21" customHeight="1">
      <c r="A21" s="335" t="s">
        <v>200</v>
      </c>
      <c r="B21" s="333">
        <f>SUM(B18:B20)</f>
        <v>0</v>
      </c>
      <c r="C21" s="333">
        <f>SUM(C18:C20)</f>
        <v>0</v>
      </c>
      <c r="D21" s="333">
        <f>SUM(D18:D20)</f>
        <v>0</v>
      </c>
      <c r="E21" s="335"/>
      <c r="F21" s="335"/>
    </row>
    <row r="22" spans="1:6" ht="30.95" customHeight="1"/>
  </sheetData>
  <mergeCells count="5">
    <mergeCell ref="A1:F1"/>
    <mergeCell ref="A2:F2"/>
    <mergeCell ref="C3:D3"/>
    <mergeCell ref="E3:F3"/>
    <mergeCell ref="A3:A4"/>
  </mergeCells>
  <phoneticPr fontId="54"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7"/>
  <sheetViews>
    <sheetView topLeftCell="A50" workbookViewId="0">
      <selection activeCell="E3" sqref="E3"/>
    </sheetView>
  </sheetViews>
  <sheetFormatPr defaultColWidth="9" defaultRowHeight="24.95" customHeight="1"/>
  <cols>
    <col min="1" max="1" width="14" style="1" customWidth="1"/>
    <col min="2" max="2" width="16.625" style="1" customWidth="1"/>
    <col min="3" max="3" width="63.125" style="1" customWidth="1"/>
    <col min="4" max="4" width="19.625" style="1" customWidth="1"/>
    <col min="5" max="5" width="23.5" style="2" customWidth="1"/>
    <col min="6" max="6" width="27.625" style="1" customWidth="1"/>
    <col min="7" max="16384" width="9" style="1"/>
  </cols>
  <sheetData>
    <row r="1" spans="1:5" ht="24.95" customHeight="1">
      <c r="A1" s="762" t="s">
        <v>279</v>
      </c>
      <c r="B1" s="762"/>
      <c r="C1" s="762"/>
      <c r="D1" s="762"/>
      <c r="E1" s="763"/>
    </row>
    <row r="2" spans="1:5" ht="24.95" customHeight="1">
      <c r="A2" s="3" t="s">
        <v>280</v>
      </c>
      <c r="B2" s="3" t="s">
        <v>3</v>
      </c>
      <c r="C2" s="3" t="s">
        <v>281</v>
      </c>
      <c r="D2" s="3" t="s">
        <v>282</v>
      </c>
      <c r="E2" s="4" t="s">
        <v>283</v>
      </c>
    </row>
    <row r="3" spans="1:5" ht="24.95" customHeight="1">
      <c r="A3" s="766" t="s">
        <v>284</v>
      </c>
      <c r="B3" s="5" t="s">
        <v>285</v>
      </c>
      <c r="C3" s="6" t="s">
        <v>286</v>
      </c>
      <c r="D3" s="6" t="s">
        <v>287</v>
      </c>
      <c r="E3" s="7" t="s">
        <v>288</v>
      </c>
    </row>
    <row r="4" spans="1:5" ht="24.95" customHeight="1">
      <c r="A4" s="767"/>
      <c r="B4" s="5" t="s">
        <v>86</v>
      </c>
      <c r="C4" s="6" t="s">
        <v>289</v>
      </c>
      <c r="D4" s="6" t="s">
        <v>290</v>
      </c>
      <c r="E4" s="8" t="s">
        <v>291</v>
      </c>
    </row>
    <row r="5" spans="1:5" ht="24.95" customHeight="1">
      <c r="A5" s="767"/>
      <c r="B5" s="9" t="s">
        <v>292</v>
      </c>
      <c r="C5" s="6" t="s">
        <v>293</v>
      </c>
      <c r="D5" s="6" t="s">
        <v>287</v>
      </c>
      <c r="E5" s="8" t="s">
        <v>90</v>
      </c>
    </row>
    <row r="6" spans="1:5" ht="24.95" customHeight="1">
      <c r="A6" s="767"/>
      <c r="B6" s="9" t="s">
        <v>294</v>
      </c>
      <c r="C6" s="6" t="s">
        <v>295</v>
      </c>
      <c r="D6" s="6" t="s">
        <v>290</v>
      </c>
      <c r="E6" s="8" t="s">
        <v>100</v>
      </c>
    </row>
    <row r="7" spans="1:5" ht="24.95" customHeight="1">
      <c r="A7" s="767"/>
      <c r="B7" s="9" t="s">
        <v>296</v>
      </c>
      <c r="C7" s="6" t="s">
        <v>297</v>
      </c>
      <c r="D7" s="6" t="s">
        <v>290</v>
      </c>
      <c r="E7" s="8" t="s">
        <v>291</v>
      </c>
    </row>
    <row r="8" spans="1:5" ht="24.95" customHeight="1">
      <c r="A8" s="767"/>
      <c r="B8" s="9" t="s">
        <v>96</v>
      </c>
      <c r="C8" s="6" t="s">
        <v>298</v>
      </c>
      <c r="D8" s="6" t="s">
        <v>299</v>
      </c>
      <c r="E8" s="8" t="s">
        <v>300</v>
      </c>
    </row>
    <row r="9" spans="1:5" ht="24.95" customHeight="1">
      <c r="A9" s="767"/>
      <c r="B9" s="9" t="s">
        <v>98</v>
      </c>
      <c r="C9" s="6" t="s">
        <v>301</v>
      </c>
      <c r="D9" s="6" t="s">
        <v>287</v>
      </c>
      <c r="E9" s="8" t="s">
        <v>302</v>
      </c>
    </row>
    <row r="10" spans="1:5" ht="24.95" customHeight="1">
      <c r="A10" s="767"/>
      <c r="B10" s="9" t="s">
        <v>94</v>
      </c>
      <c r="C10" s="6" t="s">
        <v>303</v>
      </c>
      <c r="D10" s="6" t="s">
        <v>287</v>
      </c>
      <c r="E10" s="8" t="s">
        <v>304</v>
      </c>
    </row>
    <row r="11" spans="1:5" ht="24.95" customHeight="1">
      <c r="A11" s="767"/>
      <c r="B11" s="10" t="s">
        <v>88</v>
      </c>
      <c r="C11" s="8" t="s">
        <v>305</v>
      </c>
      <c r="D11" s="6" t="s">
        <v>287</v>
      </c>
      <c r="E11" s="8" t="s">
        <v>304</v>
      </c>
    </row>
    <row r="12" spans="1:5" ht="24.95" customHeight="1">
      <c r="A12" s="764" t="s">
        <v>306</v>
      </c>
      <c r="B12" s="764"/>
      <c r="C12" s="6" t="s">
        <v>286</v>
      </c>
      <c r="D12" s="6" t="s">
        <v>287</v>
      </c>
      <c r="E12" s="8" t="s">
        <v>304</v>
      </c>
    </row>
    <row r="13" spans="1:5" ht="24.95" customHeight="1">
      <c r="A13" s="764" t="s">
        <v>307</v>
      </c>
      <c r="B13" s="764"/>
      <c r="C13" s="6" t="s">
        <v>286</v>
      </c>
      <c r="D13" s="6" t="s">
        <v>287</v>
      </c>
      <c r="E13" s="8" t="s">
        <v>304</v>
      </c>
    </row>
    <row r="14" spans="1:5" ht="24.95" customHeight="1">
      <c r="A14" s="767" t="s">
        <v>25</v>
      </c>
      <c r="B14" s="11" t="s">
        <v>108</v>
      </c>
      <c r="C14" s="6" t="s">
        <v>308</v>
      </c>
      <c r="D14" s="6" t="s">
        <v>299</v>
      </c>
      <c r="E14" s="8" t="s">
        <v>300</v>
      </c>
    </row>
    <row r="15" spans="1:5" ht="24.95" customHeight="1">
      <c r="A15" s="767"/>
      <c r="B15" s="11" t="s">
        <v>107</v>
      </c>
      <c r="C15" s="6" t="s">
        <v>309</v>
      </c>
      <c r="D15" s="6" t="s">
        <v>299</v>
      </c>
      <c r="E15" s="8" t="s">
        <v>300</v>
      </c>
    </row>
    <row r="16" spans="1:5" ht="42" customHeight="1">
      <c r="A16" s="767"/>
      <c r="B16" s="12" t="s">
        <v>310</v>
      </c>
      <c r="C16" s="8" t="s">
        <v>311</v>
      </c>
      <c r="D16" s="6" t="s">
        <v>287</v>
      </c>
      <c r="E16" s="8" t="s">
        <v>312</v>
      </c>
    </row>
    <row r="17" spans="1:5" ht="33" customHeight="1">
      <c r="A17" s="767"/>
      <c r="B17" s="5" t="s">
        <v>313</v>
      </c>
      <c r="C17" s="8" t="s">
        <v>314</v>
      </c>
      <c r="D17" s="6" t="s">
        <v>287</v>
      </c>
      <c r="E17" s="8" t="s">
        <v>300</v>
      </c>
    </row>
    <row r="18" spans="1:5" ht="24.95" customHeight="1">
      <c r="A18" s="767"/>
      <c r="B18" s="5" t="s">
        <v>315</v>
      </c>
      <c r="C18" s="6" t="s">
        <v>316</v>
      </c>
      <c r="D18" s="6" t="s">
        <v>287</v>
      </c>
      <c r="E18" s="8" t="s">
        <v>300</v>
      </c>
    </row>
    <row r="19" spans="1:5" ht="48" customHeight="1">
      <c r="A19" s="767"/>
      <c r="B19" s="5" t="s">
        <v>317</v>
      </c>
      <c r="C19" s="8" t="s">
        <v>318</v>
      </c>
      <c r="D19" s="6" t="s">
        <v>287</v>
      </c>
      <c r="E19" s="8" t="s">
        <v>291</v>
      </c>
    </row>
    <row r="20" spans="1:5" ht="48" customHeight="1">
      <c r="A20" s="767"/>
      <c r="B20" s="5" t="s">
        <v>116</v>
      </c>
      <c r="C20" s="8" t="s">
        <v>319</v>
      </c>
      <c r="D20" s="6" t="s">
        <v>287</v>
      </c>
      <c r="E20" s="8" t="s">
        <v>300</v>
      </c>
    </row>
    <row r="21" spans="1:5" ht="47.1" customHeight="1">
      <c r="A21" s="767"/>
      <c r="B21" s="5" t="s">
        <v>320</v>
      </c>
      <c r="C21" s="6" t="s">
        <v>321</v>
      </c>
      <c r="D21" s="6" t="s">
        <v>287</v>
      </c>
      <c r="E21" s="8" t="s">
        <v>322</v>
      </c>
    </row>
    <row r="22" spans="1:5" ht="24.95" customHeight="1">
      <c r="A22" s="767"/>
      <c r="B22" s="5" t="s">
        <v>323</v>
      </c>
      <c r="C22" s="6" t="s">
        <v>324</v>
      </c>
      <c r="D22" s="6" t="s">
        <v>287</v>
      </c>
      <c r="E22" s="8" t="s">
        <v>325</v>
      </c>
    </row>
    <row r="23" spans="1:5" ht="24.95" customHeight="1">
      <c r="A23" s="767"/>
      <c r="B23" s="5" t="s">
        <v>118</v>
      </c>
      <c r="C23" s="8" t="s">
        <v>326</v>
      </c>
      <c r="D23" s="6" t="s">
        <v>287</v>
      </c>
      <c r="E23" s="8" t="s">
        <v>327</v>
      </c>
    </row>
    <row r="24" spans="1:5" ht="24.95" customHeight="1">
      <c r="A24" s="767"/>
      <c r="B24" s="5" t="s">
        <v>328</v>
      </c>
      <c r="C24" s="8" t="s">
        <v>329</v>
      </c>
      <c r="D24" s="6" t="s">
        <v>287</v>
      </c>
      <c r="E24" s="8" t="s">
        <v>330</v>
      </c>
    </row>
    <row r="25" spans="1:5" ht="45.95" customHeight="1">
      <c r="A25" s="767"/>
      <c r="B25" s="5" t="s">
        <v>331</v>
      </c>
      <c r="C25" s="8" t="s">
        <v>332</v>
      </c>
      <c r="D25" s="6" t="s">
        <v>287</v>
      </c>
      <c r="E25" s="8" t="s">
        <v>333</v>
      </c>
    </row>
    <row r="26" spans="1:5" ht="24.95" customHeight="1">
      <c r="A26" s="767"/>
      <c r="B26" s="5" t="s">
        <v>132</v>
      </c>
      <c r="C26" s="6" t="s">
        <v>334</v>
      </c>
      <c r="D26" s="6" t="s">
        <v>287</v>
      </c>
      <c r="E26" s="8" t="s">
        <v>304</v>
      </c>
    </row>
    <row r="27" spans="1:5" ht="42" customHeight="1">
      <c r="A27" s="767"/>
      <c r="B27" s="5" t="s">
        <v>134</v>
      </c>
      <c r="C27" s="8" t="s">
        <v>335</v>
      </c>
      <c r="D27" s="6" t="s">
        <v>287</v>
      </c>
      <c r="E27" s="8" t="s">
        <v>304</v>
      </c>
    </row>
    <row r="28" spans="1:5" ht="72" customHeight="1">
      <c r="A28" s="767"/>
      <c r="B28" s="5" t="s">
        <v>128</v>
      </c>
      <c r="C28" s="8" t="s">
        <v>336</v>
      </c>
      <c r="D28" s="6" t="s">
        <v>287</v>
      </c>
      <c r="E28" s="8" t="s">
        <v>330</v>
      </c>
    </row>
    <row r="29" spans="1:5" ht="44.1" customHeight="1">
      <c r="A29" s="767"/>
      <c r="B29" s="9" t="s">
        <v>337</v>
      </c>
      <c r="C29" s="8" t="s">
        <v>338</v>
      </c>
      <c r="D29" s="6" t="s">
        <v>287</v>
      </c>
      <c r="E29" s="8" t="s">
        <v>339</v>
      </c>
    </row>
    <row r="30" spans="1:5" ht="24.95" customHeight="1">
      <c r="A30" s="767"/>
      <c r="B30" s="5" t="s">
        <v>340</v>
      </c>
      <c r="C30" s="6" t="s">
        <v>341</v>
      </c>
      <c r="D30" s="6" t="s">
        <v>287</v>
      </c>
      <c r="E30" s="8" t="s">
        <v>342</v>
      </c>
    </row>
    <row r="31" spans="1:5" ht="24.95" customHeight="1">
      <c r="A31" s="767"/>
      <c r="B31" s="13" t="s">
        <v>120</v>
      </c>
      <c r="C31" s="6" t="s">
        <v>343</v>
      </c>
      <c r="D31" s="6" t="s">
        <v>287</v>
      </c>
      <c r="E31" s="8" t="s">
        <v>300</v>
      </c>
    </row>
    <row r="32" spans="1:5" ht="24.95" customHeight="1">
      <c r="A32" s="767"/>
      <c r="B32" s="5" t="s">
        <v>344</v>
      </c>
      <c r="C32" s="6" t="s">
        <v>345</v>
      </c>
      <c r="D32" s="6" t="s">
        <v>287</v>
      </c>
      <c r="E32" s="8" t="s">
        <v>304</v>
      </c>
    </row>
    <row r="33" spans="1:6" ht="24.95" customHeight="1">
      <c r="A33" s="767"/>
      <c r="B33" s="5" t="s">
        <v>346</v>
      </c>
      <c r="C33" s="6" t="s">
        <v>347</v>
      </c>
      <c r="D33" s="6" t="s">
        <v>287</v>
      </c>
      <c r="E33" s="8" t="s">
        <v>304</v>
      </c>
    </row>
    <row r="34" spans="1:6" ht="24.95" customHeight="1">
      <c r="A34" s="767"/>
      <c r="B34" s="14" t="s">
        <v>348</v>
      </c>
      <c r="C34" s="15" t="s">
        <v>349</v>
      </c>
      <c r="D34" s="6" t="s">
        <v>287</v>
      </c>
      <c r="E34" s="8" t="s">
        <v>304</v>
      </c>
    </row>
    <row r="35" spans="1:6" ht="24.95" customHeight="1">
      <c r="A35" s="767"/>
      <c r="B35" s="16" t="s">
        <v>350</v>
      </c>
      <c r="C35" s="15" t="s">
        <v>351</v>
      </c>
      <c r="D35" s="6" t="s">
        <v>287</v>
      </c>
      <c r="E35" s="8" t="s">
        <v>304</v>
      </c>
    </row>
    <row r="36" spans="1:6" ht="63" customHeight="1">
      <c r="A36" s="768" t="s">
        <v>36</v>
      </c>
      <c r="B36" s="13" t="s">
        <v>352</v>
      </c>
      <c r="C36" s="8" t="s">
        <v>353</v>
      </c>
      <c r="D36" s="6" t="s">
        <v>290</v>
      </c>
      <c r="E36" s="8" t="s">
        <v>330</v>
      </c>
    </row>
    <row r="37" spans="1:6" ht="33.950000000000003" customHeight="1">
      <c r="A37" s="767"/>
      <c r="B37" s="13" t="s">
        <v>354</v>
      </c>
      <c r="C37" s="8" t="s">
        <v>355</v>
      </c>
      <c r="D37" s="6" t="s">
        <v>290</v>
      </c>
      <c r="E37" s="8" t="s">
        <v>330</v>
      </c>
    </row>
    <row r="38" spans="1:6" ht="33.950000000000003" customHeight="1">
      <c r="A38" s="769" t="s">
        <v>356</v>
      </c>
      <c r="B38" s="13" t="s">
        <v>357</v>
      </c>
      <c r="C38" s="8" t="s">
        <v>358</v>
      </c>
      <c r="D38" s="6" t="s">
        <v>287</v>
      </c>
      <c r="E38" s="8" t="s">
        <v>359</v>
      </c>
    </row>
    <row r="39" spans="1:6" ht="33.950000000000003" customHeight="1">
      <c r="A39" s="770"/>
      <c r="B39" s="13" t="s">
        <v>360</v>
      </c>
      <c r="C39" s="8" t="s">
        <v>361</v>
      </c>
      <c r="D39" s="6" t="s">
        <v>290</v>
      </c>
      <c r="E39" s="8" t="s">
        <v>195</v>
      </c>
    </row>
    <row r="40" spans="1:6" ht="33.950000000000003" customHeight="1">
      <c r="A40" s="770"/>
      <c r="B40" s="13" t="s">
        <v>362</v>
      </c>
      <c r="C40" s="17" t="s">
        <v>363</v>
      </c>
      <c r="D40" s="6" t="s">
        <v>287</v>
      </c>
      <c r="E40" s="8" t="s">
        <v>364</v>
      </c>
    </row>
    <row r="41" spans="1:6" ht="33.950000000000003" customHeight="1">
      <c r="A41" s="770"/>
      <c r="B41" s="14" t="s">
        <v>258</v>
      </c>
      <c r="C41" s="7" t="s">
        <v>365</v>
      </c>
      <c r="D41" s="15" t="s">
        <v>290</v>
      </c>
      <c r="E41" s="18" t="s">
        <v>364</v>
      </c>
    </row>
    <row r="42" spans="1:6" ht="30" customHeight="1">
      <c r="A42" s="771" t="s">
        <v>366</v>
      </c>
      <c r="B42" s="5" t="s">
        <v>261</v>
      </c>
      <c r="C42" s="8" t="s">
        <v>367</v>
      </c>
      <c r="D42" s="6" t="s">
        <v>290</v>
      </c>
      <c r="E42" s="8" t="s">
        <v>368</v>
      </c>
      <c r="F42" s="19"/>
    </row>
    <row r="43" spans="1:6" ht="30" customHeight="1">
      <c r="A43" s="772"/>
      <c r="B43" s="5" t="s">
        <v>263</v>
      </c>
      <c r="C43" s="8" t="s">
        <v>369</v>
      </c>
      <c r="D43" s="6" t="s">
        <v>290</v>
      </c>
      <c r="E43" s="8" t="s">
        <v>368</v>
      </c>
    </row>
    <row r="44" spans="1:6" ht="26.1" customHeight="1">
      <c r="A44" s="772"/>
      <c r="B44" s="5" t="s">
        <v>266</v>
      </c>
      <c r="C44" s="8" t="s">
        <v>369</v>
      </c>
      <c r="D44" s="6" t="s">
        <v>290</v>
      </c>
      <c r="E44" s="8" t="s">
        <v>368</v>
      </c>
    </row>
    <row r="45" spans="1:6" ht="30" customHeight="1">
      <c r="A45" s="772"/>
      <c r="B45" s="5" t="s">
        <v>270</v>
      </c>
      <c r="C45" s="6" t="s">
        <v>370</v>
      </c>
      <c r="D45" s="6" t="s">
        <v>287</v>
      </c>
      <c r="E45" s="8" t="s">
        <v>371</v>
      </c>
    </row>
    <row r="46" spans="1:6" ht="24.95" customHeight="1">
      <c r="A46" s="772"/>
      <c r="B46" s="5" t="s">
        <v>274</v>
      </c>
      <c r="C46" s="6" t="s">
        <v>372</v>
      </c>
      <c r="D46" s="6" t="s">
        <v>287</v>
      </c>
      <c r="E46" s="8" t="s">
        <v>327</v>
      </c>
    </row>
    <row r="47" spans="1:6" ht="33" customHeight="1">
      <c r="A47" s="773"/>
      <c r="B47" s="5" t="s">
        <v>272</v>
      </c>
      <c r="C47" s="6" t="s">
        <v>373</v>
      </c>
      <c r="D47" s="6" t="s">
        <v>287</v>
      </c>
      <c r="E47" s="8" t="s">
        <v>327</v>
      </c>
    </row>
    <row r="48" spans="1:6" ht="30" customHeight="1">
      <c r="A48" s="774" t="s">
        <v>374</v>
      </c>
      <c r="B48" s="775"/>
      <c r="C48" s="8" t="s">
        <v>375</v>
      </c>
      <c r="D48" s="6"/>
      <c r="E48" s="20"/>
    </row>
    <row r="49" spans="1:5" ht="44.1" customHeight="1">
      <c r="A49" s="776"/>
      <c r="B49" s="777"/>
      <c r="C49" s="8" t="s">
        <v>376</v>
      </c>
      <c r="D49" s="6"/>
      <c r="E49" s="20"/>
    </row>
    <row r="50" spans="1:5" ht="32.1" customHeight="1">
      <c r="A50" s="776"/>
      <c r="B50" s="777"/>
      <c r="C50" s="21" t="s">
        <v>377</v>
      </c>
      <c r="D50" s="22"/>
      <c r="E50" s="23"/>
    </row>
    <row r="51" spans="1:5" ht="45" customHeight="1">
      <c r="A51" s="778"/>
      <c r="B51" s="779"/>
      <c r="C51" s="24" t="s">
        <v>378</v>
      </c>
      <c r="D51" s="25"/>
      <c r="E51" s="26"/>
    </row>
    <row r="52" spans="1:5" ht="39.950000000000003" customHeight="1">
      <c r="A52" s="765" t="s">
        <v>379</v>
      </c>
      <c r="B52" s="765"/>
      <c r="C52" s="27" t="s">
        <v>380</v>
      </c>
      <c r="D52" s="27" t="s">
        <v>381</v>
      </c>
      <c r="E52" s="28"/>
    </row>
    <row r="53" spans="1:5" ht="24.95" customHeight="1">
      <c r="A53" s="756" t="s">
        <v>382</v>
      </c>
      <c r="B53" s="757"/>
      <c r="C53" s="6"/>
      <c r="D53" s="6"/>
      <c r="E53" s="20"/>
    </row>
    <row r="54" spans="1:5" ht="24.95" customHeight="1">
      <c r="A54" s="758"/>
      <c r="B54" s="759"/>
      <c r="C54" s="6"/>
      <c r="D54" s="6"/>
      <c r="E54" s="20"/>
    </row>
    <row r="55" spans="1:5" ht="24.95" customHeight="1">
      <c r="A55" s="758"/>
      <c r="B55" s="759"/>
      <c r="C55" s="6"/>
      <c r="D55" s="6"/>
      <c r="E55" s="20"/>
    </row>
    <row r="56" spans="1:5" ht="24.95" customHeight="1">
      <c r="A56" s="760"/>
      <c r="B56" s="761"/>
      <c r="C56" s="25"/>
      <c r="D56" s="25"/>
      <c r="E56" s="26"/>
    </row>
    <row r="57" spans="1:5" ht="24.95" customHeight="1">
      <c r="D57" s="1" t="s">
        <v>383</v>
      </c>
      <c r="E57" s="2">
        <v>2025.1</v>
      </c>
    </row>
  </sheetData>
  <sheetProtection formatCells="0" formatColumns="0" formatRows="0" insertColumns="0" insertRows="0" insertHyperlinks="0" deleteColumns="0" deleteRows="0" sort="0" autoFilter="0" pivotTables="0"/>
  <mergeCells count="11">
    <mergeCell ref="A53:B56"/>
    <mergeCell ref="A1:E1"/>
    <mergeCell ref="A12:B12"/>
    <mergeCell ref="A13:B13"/>
    <mergeCell ref="A52:B52"/>
    <mergeCell ref="A3:A11"/>
    <mergeCell ref="A14:A35"/>
    <mergeCell ref="A36:A37"/>
    <mergeCell ref="A38:A41"/>
    <mergeCell ref="A42:A47"/>
    <mergeCell ref="A48:B51"/>
  </mergeCells>
  <phoneticPr fontId="54" type="noConversion"/>
  <pageMargins left="0.75" right="0.75" top="1" bottom="1" header="0.5" footer="0.5"/>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ixelators xmlns="https://web.wps.cn/et/2018/main" xmlns:s="http://schemas.openxmlformats.org/spreadsheetml/2006/main">
  <pixelatorList sheetStid="1"/>
  <pixelatorList sheetStid="2"/>
  <pixelatorList sheetStid="3"/>
  <pixelatorList sheetStid="6"/>
  <pixelatorList sheetStid="7"/>
  <pixelatorList sheetStid="8"/>
  <pixelatorList sheetStid="4"/>
  <pixelatorList sheetStid="10"/>
  <pixelatorList sheetStid="9"/>
  <pixelatorList sheetStid="11"/>
  <pixelatorList sheetStid="5"/>
  <pixelatorList sheetStid="12"/>
</pixelators>
</file>

<file path=customXml/item2.xml><?xml version="1.0" encoding="utf-8"?>
<comments xmlns="https://web.wps.cn/et/2018/main" xmlns:s="http://schemas.openxmlformats.org/spreadsheetml/2006/main" xmlns:r="http://schemas.openxmlformats.org/officeDocument/2006/relationships">
  <commentList sheetStid="1">
    <commentChains s:ref="F2" rgbClr="FF0000">
      <unresolved>
        <commentChain chainId="f5628413ded8c353f78ada4d2bba3856914e2e5e">
          <item id="38f380c028121a1cd2514416cd1dc95d45606827" isNormal="1">
            <s:text>
              <s:r>
                <s:t xml:space="preserve">去年年底制定年度计划时就已经分解的新一年的每个月的月度分解目标。</s:t>
              </s:r>
            </s:text>
          </item>
        </commentChain>
      </unresolved>
      <resolved/>
    </commentChains>
    <commentChains s:ref="G2" rgbClr="FF0000">
      <unresolved>
        <commentChain chainId="371c60887a2319a8e14b80a82f6d52ccb7b3029f">
          <item id="7447bbf7be21db4baf54f6645d7fc0ced01ba993" isNormal="1">
            <s:text>
              <s:r>
                <s:t xml:space="preserve">到了这个月来临前，根据当前的形势和情况，针对F列的当月目标进行调整得到的目标数据。</s:t>
              </s:r>
            </s:text>
          </item>
        </commentChain>
      </unresolved>
      <resolved/>
    </commentChains>
    <commentChains s:ref="H2" rgbClr="FF0000">
      <unresolved>
        <commentChain chainId="9a1dbab39f61db1b1ba67b7ce280d2c0e7de6a15">
          <item id="90dbe4ce07baef9ad54e86bd2b99435199b009c0" isNormal="1">
            <s:text>
              <s:r>
                <s:t xml:space="preserve">左侧金额/总销售额（A5行）*100%</s:t>
              </s:r>
            </s:text>
          </item>
        </commentChain>
      </unresolved>
      <resolved/>
    </commentChains>
    <commentChains s:ref="I2" rgbClr="FF0000">
      <unresolved>
        <commentChain chainId="6a72a562be8ad308632c6addf2060a5c092fe340">
          <item id="e7b6769be9ab3221cacf191455d798bd2d89ed87" isNormal="1">
            <s:text>
              <s:r>
                <s:t xml:space="preserve">这个月努力的结果。</s:t>
              </s:r>
            </s:text>
          </item>
        </commentChain>
      </unresolved>
      <resolved/>
    </commentChains>
    <commentChains s:ref="J2" rgbClr="FF0000">
      <unresolved>
        <commentChain chainId="323924d428380ce615f87d47d5285d167f53d10d">
          <item id="257c5012dab382dbc81bfec8665ab143e00ae245" isNormal="1">
            <s:text>
              <s:r>
                <s:t xml:space="preserve">左侧金额/总销售额（A5行）*100%</s:t>
              </s:r>
            </s:text>
          </item>
        </commentChain>
      </unresolved>
      <resolved/>
    </commentChains>
    <commentChains s:ref="K2" rgbClr="FF0000">
      <unresolved>
        <commentChain chainId="a7a8908f285125f4b6f641422166995dd853548b">
          <item id="4539f8a4d2cc880326a88f8a4ec926a58953da32" isNormal="1">
            <s:text>
              <s:r>
                <s:t xml:space="preserve">月度实绩—月度预定的差额。</s:t>
              </s:r>
            </s:text>
          </item>
        </commentChain>
      </unresolved>
      <resolved/>
    </commentChains>
    <commentChains s:ref="L2" rgbClr="FF0000">
      <unresolved>
        <commentChain chainId="9a15cc17ea8987fec8c962e9f11daa8d7827cf43">
          <item id="91abea986810d67283b76a6ab16ac776b656f45b" isNormal="1">
            <s:text>
              <s:r>
                <s:t xml:space="preserve">月度实绩/月度预定*100%</s:t>
              </s:r>
            </s:text>
          </item>
        </commentChain>
      </unresolved>
      <resolved/>
    </commentChains>
    <commentChains s:ref="M2" rgbClr="FF0000">
      <unresolved>
        <commentChain chainId="594cd286bca2193e3330502ef32aba461c5c7d95">
          <item id="ff87391c9cfda6171ac0e71616b3076de274dc1e" isNormal="1">
            <s:text>
              <s:r>
                <s:t xml:space="preserve">月度实绩/年度计划当月目标*100%</s:t>
              </s:r>
            </s:text>
          </item>
        </commentChain>
      </unresolved>
      <resolved/>
    </commentChains>
    <commentChains s:ref="C6" rgbClr="FF0000">
      <unresolved>
        <commentChain chainId="0659d40aeae9274b716d013bc09211450d3dcca4">
          <item id="32e474477a4bb04015b71401973f357e2ed9c799" isNormal="1">
            <s:text>
              <s:r>
                <s:t xml:space="preserve">pc:
不含税</s:t>
              </s:r>
            </s:text>
          </item>
        </commentChain>
      </unresolved>
      <resolved/>
    </commentChains>
    <commentChains s:ref="C11" rgbClr="FF0000">
      <unresolved>
        <commentChain chainId="cbef037b73ac5dc82bcb6329e6e2ca45034bce87">
          <item id="cdbb1ecf14c32f168cab6d8f788bae7f51823e78" isNormal="1">
            <s:text>
              <s:r>
                <s:t xml:space="preserve">1、结算收益代表公司产生的附加价值，只不过不包含人工费；
2、结算收益＞人工费代表不亏钱。</s:t>
              </s:r>
            </s:text>
          </item>
        </commentChain>
      </unresolved>
      <resolved/>
    </commentChains>
    <commentChains s:ref="C14" rgbClr="FF0000">
      <unresolved>
        <commentChain chainId="8a21c305d6d23fbeebe6ac3b8da9f99e07586b2c">
          <item id="58b129e8db625db264639c589747285e253a0bc0" isNormal="1">
            <s:text>
              <s:r>
                <s:t xml:space="preserve">总时间=正常出勤时间+加班时间，请假、休假应当扣除不计入出勤时间。</s:t>
              </s:r>
            </s:text>
          </item>
        </commentChain>
      </unresolved>
      <resolved/>
    </commentChains>
    <commentChains s:ref="C15" rgbClr="FF0000">
      <unresolved>
        <commentChain chainId="a441ecf648f7522f14e3b638206549f33edce1ee">
          <item id="e41c5b99fbf7db9c049518a503c12c6a4ea42de2" isNormal="1">
            <s:text>
              <s:r>
                <s:t xml:space="preserve">1、单位时间附加值=结算收益/总时间；
2、代表每小时创造的附加价值。</s:t>
              </s:r>
            </s:text>
          </item>
        </commentChain>
      </unresolved>
      <resolved/>
    </commentChains>
    <commentChains s:ref="C16" rgbClr="FF0000">
      <unresolved>
        <commentChain chainId="618a3076f1ca818b2792100fb59067617e2ac0fd">
          <item id="712f807e65b9226367ea77757bb0a90dd7ef9d5b" isNormal="1">
            <s:text>
              <s:r>
                <s:t xml:space="preserve">1、人数=月初公司人员数或（月初+月底之和/2)；一旦选择了某种人数确认方式，则每个月的标准要一致，不能变；
2、控制人数对提升单位时间附加值很重要。</s:t>
              </s:r>
            </s:text>
          </item>
        </commentChain>
      </unresolved>
      <resolved/>
    </commentChains>
    <commentChains s:ref="A21" rgbClr="FF0000">
      <unresolved>
        <commentChain chainId="7f8d740394603f266d30a6a3c6bc964088253468">
          <item id="4e82e3478a24221d6c0d6a6258cef902193701c7" isNormal="1">
            <s:text>
              <s:r>
                <s:t xml:space="preserve">1、栏外部分为企业个性化数据，每家企业根据自己的情况以及经营者关注的点不同，可以自行添加或者修改；
</s:t>
              </s:r>
            </s:text>
          </item>
        </commentChain>
      </unresolved>
      <resolved/>
    </commentChains>
  </commentList>
  <commentList sheetStid="2">
    <commentChains s:ref="F2" rgbClr="FF0000">
      <unresolved>
        <commentChain chainId="a7d71adc268dc4d820086c951630ec5b9d17e589">
          <item id="e550aa79c6f6e950823e6feda6ced56f895a6862" isNormal="1">
            <s:text>
              <s:r>
                <s:t xml:space="preserve">Administrator:
年度分解的7月预算数</s:t>
              </s:r>
            </s:text>
          </item>
        </commentChain>
      </unresolved>
      <resolved/>
    </commentChains>
    <commentChains s:ref="B3" rgbClr="FF0000">
      <unresolved>
        <commentChain chainId="6c93d0fcb4ceb599e3fbcd0c0e829ac076d2519e">
          <item id="281c1235355003b40979c2dcb2ebc3cf921ddf3a" isNormal="1">
            <s:text>
              <s:r>
                <s:t xml:space="preserve">pc:
招商部：不含开乐影城，指合同额。</s:t>
              </s:r>
            </s:text>
          </item>
        </commentChain>
      </unresolved>
      <resolved/>
    </commentChains>
    <commentChains s:ref="B7" rgbClr="FF0000">
      <unresolved>
        <commentChain chainId="7ad35dc7fa1add1d4563b3a0a0544181b367bbc6">
          <item id="9cccca6b2fcecc3da32de473616bb93a12a10c26" isNormal="1">
            <s:text>
              <s:r>
                <s:t xml:space="preserve">Administrator:
收入</s:t>
              </s:r>
            </s:text>
          </item>
        </commentChain>
      </unresolved>
      <resolved/>
    </commentChains>
    <commentChains s:ref="B8" rgbClr="FF0000">
      <unresolved>
        <commentChain chainId="7fce120f27f0211887b760c291823b423156b5e4">
          <item id="ad03ba9fbbe0f899c9fc62bce61fc6a8c8cae360" isNormal="1">
            <s:text>
              <s:r>
                <s:t xml:space="preserve">Administrator:
财务部，包括收银机服务费、工程特约维修款等</s:t>
              </s:r>
            </s:text>
          </item>
        </commentChain>
      </unresolved>
      <resolved/>
    </commentChains>
    <commentChains s:ref="B9" rgbClr="FF0000">
      <unresolved>
        <commentChain chainId="33bee4ab9e3b232276bc7918c301c8f579e0bb26">
          <item id="1199ed69ade1d0b66807d5376d0dd0a284449e35" isNormal="1">
            <s:text>
              <s:r>
                <s:t xml:space="preserve">Administrator:
包括美食广场、馋嘴巷子</s:t>
              </s:r>
            </s:text>
          </item>
        </commentChain>
      </unresolved>
      <resolved/>
    </commentChains>
    <commentChains s:ref="B10" rgbClr="FF0000">
      <unresolved>
        <commentChain chainId="ed259d19fb3ccadd7ce537395e841b909db701ce">
          <item id="b316dad960062f3527c9b26930338d891fcbe46c" isNormal="1">
            <s:text>
              <s:r>
                <s:t xml:space="preserve">Administrator:
安环部填写，收入</s:t>
              </s:r>
            </s:text>
          </item>
        </commentChain>
      </unresolved>
      <resolved/>
    </commentChains>
    <commentChains s:ref="B11" rgbClr="FF0000">
      <unresolved>
        <commentChain chainId="778b7fc6865b30e65f482424a28e960f4860b373">
          <item id="ee0f0c05df88999c16c9687628b34606c5bb0ca0" isNormal="1">
            <s:text>
              <s:r>
                <s:t xml:space="preserve">Administrator:
财务部填写，希尔顿租金</s:t>
              </s:r>
            </s:text>
          </item>
        </commentChain>
      </unresolved>
      <resolved/>
    </commentChains>
    <commentChains s:ref="B12" rgbClr="FF0000">
      <unresolved>
        <commentChain chainId="d9d3412434310e5a1705b50c369756543897ff1f">
          <item id="61a3cf24876b95a87b25ca1c667883de1769ae81" isNormal="1">
            <s:text>
              <s:r>
                <s:t xml:space="preserve">Administrator:
工程部填写，商户能源费总额</s:t>
              </s:r>
            </s:text>
          </item>
        </commentChain>
      </unresolved>
      <resolved/>
    </commentChains>
    <commentChains s:ref="B13" rgbClr="FF0000">
      <unresolved>
        <commentChain chainId="ab4c433ecf99ab04880344d5a5ad5a2f3502bd48">
          <item id="45b90e7296d8cb742721f7fc77949839882cf07e" isNormal="1">
            <s:text>
              <s:r>
                <s:t xml:space="preserve">Administrator:
推广部市场收入</s:t>
              </s:r>
            </s:text>
          </item>
        </commentChain>
      </unresolved>
      <resolved/>
    </commentChains>
    <commentChains s:ref="B14" rgbClr="FF0000">
      <unresolved>
        <commentChain chainId="a86336121af7b0c6a161b89cb71817b0d513b0a4">
          <item id="36b0a7f84a07505f7103adb2e7fa69762f531a6f" isNormal="1">
            <s:text>
              <s:r>
                <s:t xml:space="preserve">Administrator:
开乐影城经营利润</s:t>
              </s:r>
            </s:text>
          </item>
        </commentChain>
      </unresolved>
      <resolved/>
    </commentChains>
    <commentChains s:ref="B18" rgbClr="FF0000">
      <unresolved>
        <commentChain chainId="5858fdbe50541fc99b73f2871b9947dc4080ab29">
          <item id="18271f628577aaf4bdf0028257d5c41aee3c0770" isNormal="1">
            <s:text>
              <s:r>
                <s:t xml:space="preserve">pc:
工程部指为商户垫付的电费、水费。</s:t>
              </s:r>
            </s:text>
          </item>
        </commentChain>
      </unresolved>
      <resolved/>
    </commentChains>
    <commentChains s:ref="B19" rgbClr="FF0000">
      <unresolved>
        <commentChain chainId="e641838cb5dc05fee5cb472d85ed8c65049aa438">
          <item id="7ee7afbd9e9720b9caf40201d782b3c8dd9b592f" isNormal="1">
            <s:text>
              <s:r>
                <s:t xml:space="preserve">Administrator:
工程威高广场能源费</s:t>
              </s:r>
            </s:text>
          </item>
        </commentChain>
      </unresolved>
      <resolved/>
    </commentChains>
    <commentChains s:ref="B20" rgbClr="FF0000">
      <unresolved>
        <commentChain chainId="77490f0cb0d65f2b84c3da55a4665fb151e1b4a9">
          <item id="b5a5b72c4335bb6c24e503c62bdb2e7a095df9c6" isNormal="1">
            <s:text>
              <s:r>
                <s:t xml:space="preserve">Administrator:
推广部+美食广场合计数</s:t>
              </s:r>
            </s:text>
          </item>
        </commentChain>
      </unresolved>
      <resolved/>
    </commentChains>
    <commentChains s:ref="B21" rgbClr="FF0000">
      <unresolved>
        <commentChain chainId="f290ea0b99f21005a0f9bd7c750a222cd5abda1e">
          <item id="ba2dc235441a993a2cf14b5801b0dc43546db2e1" isNormal="1">
            <s:text>
              <s:r>
                <s:t xml:space="preserve">Administrator:
安环部外包方（保洁、理石、高空）</s:t>
              </s:r>
            </s:text>
          </item>
        </commentChain>
      </unresolved>
      <resolved/>
    </commentChains>
    <commentChains s:ref="B22" rgbClr="FF0000">
      <unresolved>
        <commentChain chainId="8220bd62b35516b08749efc287325526cf73aa2b">
          <item id="993b6007caf76240457c7eacadd7c2c322979778" isNormal="1">
            <s:text>
              <s:r>
                <s:t xml:space="preserve">Administrator:
工程部出具包括工程+美食广场</s:t>
              </s:r>
            </s:text>
          </item>
        </commentChain>
      </unresolved>
      <resolved/>
    </commentChains>
    <commentChains s:ref="D22" rgbClr="FF0000">
      <unresolved>
        <commentChain chainId="6793b0976f481007686ffca7aa9e8cd9ff14ad1c">
          <item id="2b90df9d7e6a115e89bb0a718db2e4081e5b5feb" isNormal="1">
            <s:text>
              <s:r>
                <s:t xml:space="preserve">Administrator:
工程部：威高广场维修费</s:t>
              </s:r>
            </s:text>
          </item>
        </commentChain>
      </unresolved>
      <resolved/>
    </commentChains>
    <commentChains s:ref="B23" rgbClr="FF0000">
      <unresolved>
        <commentChain chainId="59454fa57869130141e53b948e3c9556538709a9">
          <item id="d38a565d8fe18292a6b2c031798b50d6e9149968" isNormal="1">
            <s:text>
              <s:r>
                <s:t xml:space="preserve">Administrator:
工程部，包括设备设施维保费、工程类信息系统维保费</s:t>
              </s:r>
            </s:text>
          </item>
        </commentChain>
      </unresolved>
      <resolved/>
    </commentChains>
    <commentChains s:ref="B25" rgbClr="FF0000">
      <unresolved>
        <commentChain chainId="1cf636039f020a9153f424f44e1a4a34ad5f86dc">
          <item id="8126add748089f3db8cf5dc0bedcd492a0314b0d" isNormal="1">
            <s:text>
              <s:r>
                <s:t xml:space="preserve">Administrator:
工程部：新商户工程配套费，分摊到月度。</s:t>
              </s:r>
            </s:text>
          </item>
        </commentChain>
      </unresolved>
      <resolved/>
    </commentChains>
    <commentChains s:ref="B29" rgbClr="FF0000">
      <unresolved>
        <commentChain chainId="ab08d8a092601a37689d9c3f2cf7b788c60568f2">
          <item id="a510e701a60d5e72b8014ebbfce7887b7b7d06b0" isNormal="1">
            <s:text>
              <s:r>
                <s:t xml:space="preserve">Administrator:
财务部填写</s:t>
              </s:r>
            </s:text>
          </item>
        </commentChain>
      </unresolved>
      <resolved/>
    </commentChains>
    <commentChains s:ref="B31" rgbClr="FF0000">
      <unresolved>
        <commentChain chainId="34cce58f9bb5925bfb5d25d29e076e41404d1572">
          <item id="6dc0c9719c078094eedeae73e80c1c921927fb87" isNormal="1">
            <s:text>
              <s:r>
                <s:t xml:space="preserve">win:
综合部：苗寒春填写，当月购入的费用</s:t>
              </s:r>
            </s:text>
          </item>
        </commentChain>
      </unresolved>
      <resolved/>
    </commentChains>
    <commentChains s:ref="B32" rgbClr="FF0000">
      <unresolved>
        <commentChain chainId="23ec04a28036f21aacbfacc5fdfd0c3d8bcf2cfd">
          <item id="dea3a8dfaa3efb200a298efaf357f163a51ad691" isNormal="1">
            <s:text>
              <s:r>
                <s:t xml:space="preserve">win:
财务：各部门通讯费合计</s:t>
              </s:r>
            </s:text>
          </item>
        </commentChain>
      </unresolved>
      <resolved/>
    </commentChains>
    <commentChains s:ref="B33" rgbClr="FF0000">
      <unresolved>
        <commentChain chainId="27934cc17e4f34f88c40608522317acddeeac074">
          <item id="fee8d6e2775892954cdabdf7fe548318809f5cf8" isNormal="1">
            <s:text>
              <s:r>
                <s:t xml:space="preserve">Administrator:
综合部：</s:t>
              </s:r>
            </s:text>
          </item>
        </commentChain>
      </unresolved>
      <resolved/>
    </commentChains>
    <commentChains s:ref="B34" rgbClr="FF0000">
      <unresolved>
        <commentChain chainId="d2ba8c173384125ce20779230f0208dd5ddb348c">
          <item id="161ff9356d3a46fd3449f7f187aeb7ca3e250446" isNormal="1">
            <s:text>
              <s:r>
                <s:t xml:space="preserve">win:
顾客部：投诉处理费、高端会员活动费等</s:t>
              </s:r>
            </s:text>
          </item>
        </commentChain>
      </unresolved>
      <resolved/>
    </commentChains>
    <commentChains s:ref="D54" rgbClr="FF0000">
      <unresolved>
        <commentChain chainId="d08f5d2993253471dd49a1acf1d368398bbd0aab">
          <item id="1f8eaf0683f26e20df5d6a539c193fcc3b2269d5" isNormal="1">
            <s:text>
              <s:r>
                <s:t xml:space="preserve">pc:
福利费（指以钱、物等方式发给员工的）；团建费；食堂费用</s:t>
              </s:r>
            </s:text>
          </item>
        </commentChain>
      </unresolved>
      <resolved/>
    </commentChains>
    <commentChains s:ref="D55" rgbClr="FF0000">
      <unresolved>
        <commentChain chainId="c1f05709d02ebd3d23c5885e393cf99f094eec8a">
          <item id="04bd6bf657115c2e629faadc086278363da4ccfb" isNormal="1">
            <s:text>
              <s:r>
                <s:t xml:space="preserve">pc:
工装、公司配备的防护用品等，以当月实际签收入帐为准</s:t>
              </s:r>
            </s:text>
          </item>
        </commentChain>
      </unresolved>
      <resolved/>
    </commentChains>
  </commentList>
  <commentList sheetStid="6">
    <commentChains s:ref="F2" rgbClr="FF0000">
      <unresolved>
        <commentChain chainId="81be18823066e5b6c2a71d1b4be2667ba7275967">
          <item id="c50dca1c748f25db108f6e2f1be7844dd81e535e" isNormal="1">
            <s:text>
              <s:r>
                <s:t xml:space="preserve">去年年底制定年度计划时就已经分解的新一年的每个月的月度分解目标。</s:t>
              </s:r>
            </s:text>
          </item>
        </commentChain>
      </unresolved>
      <resolved/>
    </commentChains>
    <commentChains s:ref="G2" rgbClr="FF0000">
      <unresolved>
        <commentChain chainId="2051fc1c98364f5084a9add3c81a387218909c04">
          <item id="da4bcabdf904bd567e710bd213f97e784558b4c5" isNormal="1">
            <s:text>
              <s:r>
                <s:t xml:space="preserve">左侧金额/总销售额（A5行）*100%</s:t>
              </s:r>
            </s:text>
          </item>
        </commentChain>
      </unresolved>
      <resolved/>
    </commentChains>
    <commentChains s:ref="H2" rgbClr="FF0000">
      <unresolved>
        <commentChain chainId="360de11de8316ff276e2584cc077ff9c068148f7">
          <item id="e188ab6598cd1ca53774929c0cb79c9e0585ed49" isNormal="1">
            <s:text>
              <s:r>
                <s:t xml:space="preserve">到了这个月来临前，根据当前的形势和情况，针对F列的当月目标进行调整得到的目标数据。</s:t>
              </s:r>
            </s:text>
          </item>
        </commentChain>
      </unresolved>
      <resolved/>
    </commentChains>
    <commentChains s:ref="I2" rgbClr="FF0000">
      <unresolved>
        <commentChain chainId="c43bcb0c15b9183c5d90019d792f0e2f57876790">
          <item id="53d47d9799f864b6921729c699ed922167647442" isNormal="1">
            <s:text>
              <s:r>
                <s:t xml:space="preserve">左侧金额/总销售额（A5行）*100%</s:t>
              </s:r>
            </s:text>
          </item>
        </commentChain>
      </unresolved>
      <resolved/>
    </commentChains>
    <commentChains s:ref="J2" rgbClr="FF0000">
      <unresolved>
        <commentChain chainId="ba967c3f0e88ea2168dd45c15c834325063ab592">
          <item id="07889a709eaa15afb2497c799496265ad93f27b4" isNormal="1">
            <s:text>
              <s:r>
                <s:t xml:space="preserve">这个月努力的结果。</s:t>
              </s:r>
            </s:text>
          </item>
        </commentChain>
      </unresolved>
      <resolved/>
    </commentChains>
    <commentChains s:ref="K2" rgbClr="FF0000">
      <unresolved>
        <commentChain chainId="0c0e22085bc3423b104e531618556f16a3b9ae9b">
          <item id="ba8359229605b8ffc037930b17582f38a0385043" isNormal="1">
            <s:text>
              <s:r>
                <s:t xml:space="preserve">左侧金额/总销售额（A5行）*100%</s:t>
              </s:r>
            </s:text>
          </item>
        </commentChain>
      </unresolved>
      <resolved/>
    </commentChains>
    <commentChains s:ref="L2" rgbClr="FF0000">
      <unresolved>
        <commentChain chainId="d7da52eabce437bc6abccee711055bf763b8eb2f">
          <item id="ecaf797dc437b0720c27e7add033c579b9868d7d" isNormal="1">
            <s:text>
              <s:r>
                <s:t xml:space="preserve">月度实绩—月度预定的差额。</s:t>
              </s:r>
            </s:text>
          </item>
        </commentChain>
      </unresolved>
      <resolved/>
    </commentChains>
    <commentChains s:ref="M2" rgbClr="FF0000">
      <unresolved>
        <commentChain chainId="4f0626d2365897f798a47fb7abb1f94c82b050b9">
          <item id="c8126e99e1139add04fa1a8e28f876d015c65cfa" isNormal="1">
            <s:text>
              <s:r>
                <s:t xml:space="preserve">月度实绩/月度预定*100%</s:t>
              </s:r>
            </s:text>
          </item>
        </commentChain>
      </unresolved>
      <resolved/>
    </commentChains>
    <commentChains s:ref="N2" rgbClr="FF0000">
      <unresolved>
        <commentChain chainId="0ffcd24f67a243b31608e6cf53ff7c84e4eb7ab5">
          <item id="a676ef68060bca605198da6aa140c6a31c7f71c0" isNormal="1">
            <s:text>
              <s:r>
                <s:t xml:space="preserve">月度实绩/年度计划当月目标*100%</s:t>
              </s:r>
            </s:text>
          </item>
        </commentChain>
      </unresolved>
      <resolved/>
    </commentChains>
    <commentChains s:ref="C6" rgbClr="FF0000">
      <unresolved>
        <commentChain chainId="902a1467bb436300aa2e9e34b788772ce81563ad">
          <item id="c78dda777c6809c70e160ab494ff939715b67b47" isNormal="1">
            <s:text>
              <s:r>
                <s:t xml:space="preserve">pc:
不含税</s:t>
              </s:r>
            </s:text>
          </item>
        </commentChain>
      </unresolved>
      <resolved/>
    </commentChains>
    <commentChains s:ref="C11" rgbClr="FF0000">
      <unresolved>
        <commentChain chainId="2f1de1108862738916ab8c82cbd5705a3690c1e2">
          <item id="680765851e732018338f2a03eae3af9cffa13988" isNormal="1">
            <s:text>
              <s:r>
                <s:t xml:space="preserve">1、结算收益代表公司产生的附加价值，只不过不包含人工费；
2、结算收益＞人工费代表不亏钱。</s:t>
              </s:r>
            </s:text>
          </item>
        </commentChain>
      </unresolved>
      <resolved/>
    </commentChains>
    <commentChains s:ref="C14" rgbClr="FF0000">
      <unresolved>
        <commentChain chainId="1fe508de2297e5d731447aa7cbe6ce1b13d1aac7">
          <item id="9809a9286a9c8ed18135bc6453a7a385797c61bb" isNormal="1">
            <s:text>
              <s:r>
                <s:t xml:space="preserve">总时间=正常出勤时间+加班时间，请假、休假应当扣除不计入出勤时间。</s:t>
              </s:r>
            </s:text>
          </item>
        </commentChain>
      </unresolved>
      <resolved/>
    </commentChains>
    <commentChains s:ref="C15" rgbClr="FF0000">
      <unresolved>
        <commentChain chainId="08522fe03b0e62222cd0361b2892762b099cee66">
          <item id="3fb44c54feb5ecaa9389bfd39b96cd3924374ba5" isNormal="1">
            <s:text>
              <s:r>
                <s:t xml:space="preserve">1、单位时间附加值=结算收益/总时间；
2、代表每小时创造的附加价值。</s:t>
              </s:r>
            </s:text>
          </item>
        </commentChain>
      </unresolved>
      <resolved/>
    </commentChains>
    <commentChains s:ref="C16" rgbClr="FF0000">
      <unresolved>
        <commentChain chainId="4b0b43da6aceba70b335a4ecf95a5f2f03ba7cd3">
          <item id="c59d472093dfacf1415ffe992bf4e749fce029f6" isNormal="1">
            <s:text>
              <s:r>
                <s:t xml:space="preserve">1、人数=月初公司人员数或（月初+月底之和/2)；一旦选择了某种人数确认方式，则每个月的标准要一致，不能变；
2、控制人数对提升单位时间附加值很重要。</s:t>
              </s:r>
            </s:text>
          </item>
        </commentChain>
      </unresolved>
      <resolved/>
    </commentChains>
    <commentChains s:ref="A21" rgbClr="FF0000">
      <unresolved>
        <commentChain chainId="088f4dc95e760a0dd67a5a9d49e383273ba1fbd2">
          <item id="7f96860999cc1bf5e63ed5e1b324254684a026b8" isNormal="1">
            <s:text>
              <s:r>
                <s:t xml:space="preserve">1、栏外部分为企业个性化数据，每家企业根据自己的情况以及经营者关注的点不同，可以自行添加或者修改；
</s:t>
              </s:r>
            </s:text>
          </item>
        </commentChain>
      </unresolved>
      <resolved/>
    </commentChains>
    <commentChains s:ref="J21" rgbClr="FF0000">
      <unresolved>
        <commentChain chainId="d251c4c7ccf1a3689503f8341988e817eed59da8">
          <item id="0203c1123817ab5f7844794efd905a3f440d3b6c" userID="492406509" userName="棉花糖" dateTime="2026-03-04T02:38:38" isNormal="0">
            <s:text>
              <s:r>
                <s:t xml:space="preserve">本月发放了2025年半年绩效</s:t>
              </s:r>
            </s:text>
          </item>
        </commentChain>
      </unresolved>
      <resolved/>
    </commentChains>
  </commentList>
  <commentList sheetStid="7">
    <commentChains s:ref="F2" rgbClr="FF0000">
      <unresolved>
        <commentChain chainId="0511d068ad9933ad275ead460bab33ce3132d291">
          <item id="a14df00e074b1e3ed99e6d3bee8ecf46142716f6" isNormal="1">
            <s:text>
              <s:r>
                <s:t xml:space="preserve">Administrator:
年度分解的7月预算数</s:t>
              </s:r>
            </s:text>
          </item>
        </commentChain>
      </unresolved>
      <resolved/>
    </commentChains>
    <commentChains s:ref="B3" rgbClr="FF0000">
      <unresolved>
        <commentChain chainId="12074b2867a1ab6f95bbb77ea1af6e3aab4bd563">
          <item id="78914e9fc149625da094185f0fa4432bf6c5b9a9" isNormal="1">
            <s:text>
              <s:r>
                <s:t xml:space="preserve">pc:
招商部：不含开乐影城，指合同额。</s:t>
              </s:r>
            </s:text>
          </item>
        </commentChain>
      </unresolved>
      <resolved/>
    </commentChains>
    <commentChains s:ref="B7" rgbClr="FF0000">
      <unresolved>
        <commentChain chainId="f5ce4ca271deea797491dd10e1f17ec22fc370de">
          <item id="f18b65495c0aafb6dd7bfb9237e54cdda710ff76" isNormal="1">
            <s:text>
              <s:r>
                <s:t xml:space="preserve">Administrator:
收入</s:t>
              </s:r>
            </s:text>
          </item>
        </commentChain>
      </unresolved>
      <resolved/>
    </commentChains>
    <commentChains s:ref="B8" rgbClr="FF0000">
      <unresolved>
        <commentChain chainId="f70d68a6b2fae56fb148590a3bdca1fb39db5594">
          <item id="4044ac524603e6cdd63ddbe19d790714f1340ef7" isNormal="1">
            <s:text>
              <s:r>
                <s:t xml:space="preserve">Administrator:
财务部，包括收银机服务费、工程特约维修款等</s:t>
              </s:r>
            </s:text>
          </item>
        </commentChain>
      </unresolved>
      <resolved/>
    </commentChains>
    <commentChains s:ref="B9" rgbClr="FF0000">
      <unresolved>
        <commentChain chainId="ca70109bdf90bcd3cb82b83383e7fff17fc00d72">
          <item id="8a993a2861482776bb333aef3b8699287988fabe" isNormal="1">
            <s:text>
              <s:r>
                <s:t xml:space="preserve">Administrator:
包括美食广场、馋嘴巷子</s:t>
              </s:r>
            </s:text>
          </item>
        </commentChain>
      </unresolved>
      <resolved/>
    </commentChains>
    <commentChains s:ref="B10" rgbClr="FF0000">
      <unresolved>
        <commentChain chainId="6adbdb9c1f81b7b6d2b14ec870f4897e08733307">
          <item id="d424f5db452f6970148790a6b712f7b2ebdb7c12" isNormal="1">
            <s:text>
              <s:r>
                <s:t xml:space="preserve">Administrator:
安环部填写，收入</s:t>
              </s:r>
            </s:text>
          </item>
        </commentChain>
      </unresolved>
      <resolved/>
    </commentChains>
    <commentChains s:ref="B11" rgbClr="FF0000">
      <unresolved>
        <commentChain chainId="0f18bd446e6d60d0474aacf88ddba9d6f92283c3">
          <item id="79c8376d119c6579f3f818107a2b05d048c1a776" isNormal="1">
            <s:text>
              <s:r>
                <s:t xml:space="preserve">Administrator:
财务部填写，希尔顿租金</s:t>
              </s:r>
            </s:text>
          </item>
        </commentChain>
      </unresolved>
      <resolved/>
    </commentChains>
    <commentChains s:ref="B12" rgbClr="FF0000">
      <unresolved>
        <commentChain chainId="59e2c60487397c527c3a7bf6aa4f68ff738b801e">
          <item id="a4f9f5ff609af79d1fc95b71c991227a2b47b62a" isNormal="1">
            <s:text>
              <s:r>
                <s:t xml:space="preserve">Administrator:
工程部填写，商户能源费总额</s:t>
              </s:r>
            </s:text>
          </item>
        </commentChain>
      </unresolved>
      <resolved/>
    </commentChains>
    <commentChains s:ref="B13" rgbClr="FF0000">
      <unresolved>
        <commentChain chainId="283bb72cb9f3d0a73f5a6cad40b93dbeedbf7bfc">
          <item id="cdb0faba53b8e39fa29defcd2a13abaf4240308b" isNormal="1">
            <s:text>
              <s:r>
                <s:t xml:space="preserve">Administrator:
推广部市场收入</s:t>
              </s:r>
            </s:text>
          </item>
        </commentChain>
      </unresolved>
      <resolved/>
    </commentChains>
    <commentChains s:ref="B14" rgbClr="FF0000">
      <unresolved>
        <commentChain chainId="3f08374db13764b74f50834dbca13222255c1ca4">
          <item id="2ac1131b1e95da665eff74384163cbd6af0a3b2c" isNormal="1">
            <s:text>
              <s:r>
                <s:t xml:space="preserve">Administrator:
开乐影城经营利润</s:t>
              </s:r>
            </s:text>
          </item>
        </commentChain>
      </unresolved>
      <resolved/>
    </commentChains>
    <commentChains s:ref="B18" rgbClr="FF0000">
      <unresolved>
        <commentChain chainId="548f015ecb4fe219b45bdd2b5e66b821230d0616">
          <item id="b16ac435886ab79492518284b43ceee871fa14e6" isNormal="1">
            <s:text>
              <s:r>
                <s:t xml:space="preserve">pc:
工程部指为商户垫付的电费、水费。</s:t>
              </s:r>
            </s:text>
          </item>
        </commentChain>
      </unresolved>
      <resolved/>
    </commentChains>
    <commentChains s:ref="B19" rgbClr="FF0000">
      <unresolved>
        <commentChain chainId="a7857bdfa1e205aa4c38bf82aa16ad9b8b7002bd">
          <item id="94d866db1c77369316e313a1b37354fc62252e1b" isNormal="1">
            <s:text>
              <s:r>
                <s:t xml:space="preserve">Administrator:
工程威高广场能源费</s:t>
              </s:r>
            </s:text>
          </item>
        </commentChain>
      </unresolved>
      <resolved/>
    </commentChains>
    <commentChains s:ref="B20" rgbClr="FF0000">
      <unresolved>
        <commentChain chainId="986db35952c663c487db2bcd322bd8f6c96c07d1">
          <item id="a70ccd2a64318ed9b245fb15910bdb30733f2e9a" isNormal="1">
            <s:text>
              <s:r>
                <s:t xml:space="preserve">Administrator:
推广部+美食广场合计数</s:t>
              </s:r>
            </s:text>
          </item>
        </commentChain>
      </unresolved>
      <resolved/>
    </commentChains>
    <commentChains s:ref="B21" rgbClr="FF0000">
      <unresolved>
        <commentChain chainId="79701f892a5673f9c6a054f78b3c01d99c5711c2">
          <item id="8565d6e45e9d53eaf0eabffb350e014e1c850559" isNormal="1">
            <s:text>
              <s:r>
                <s:t xml:space="preserve">Administrator:
安环部外包方（保洁、理石、高空）</s:t>
              </s:r>
            </s:text>
          </item>
        </commentChain>
      </unresolved>
      <resolved/>
    </commentChains>
    <commentChains s:ref="B22" rgbClr="FF0000">
      <unresolved>
        <commentChain chainId="72bb3649232f916ad430310cfee6d547682341bd">
          <item id="984711cddfda0287b9db989afb0a72f583f99a07" isNormal="1">
            <s:text>
              <s:r>
                <s:t xml:space="preserve">Administrator:
工程部出具包括工程+美食广场</s:t>
              </s:r>
            </s:text>
          </item>
        </commentChain>
      </unresolved>
      <resolved/>
    </commentChains>
    <commentChains s:ref="D22" rgbClr="FF0000">
      <unresolved>
        <commentChain chainId="96ddee94db3d38e9829c1d550447c4374f51ea7c">
          <item id="1f003e8dc371e3f32bfdf851aa25ffc400cb2ed2" isNormal="1">
            <s:text>
              <s:r>
                <s:t xml:space="preserve">Administrator:
工程部：威高广场维修费</s:t>
              </s:r>
            </s:text>
          </item>
        </commentChain>
      </unresolved>
      <resolved/>
    </commentChains>
    <commentChains s:ref="B23" rgbClr="FF0000">
      <unresolved>
        <commentChain chainId="36f6d6c75162d7ea1f368790eee3537eea06f261">
          <item id="ef88eb11754c927717f34f12cc73795f17417a27" isNormal="1">
            <s:text>
              <s:r>
                <s:t xml:space="preserve">Administrator:
工程部，包括设备设施维保费、工程类信息系统维保费</s:t>
              </s:r>
            </s:text>
          </item>
        </commentChain>
      </unresolved>
      <resolved/>
    </commentChains>
    <commentChains s:ref="B25" rgbClr="FF0000">
      <unresolved>
        <commentChain chainId="48f1ae036fc7b6bea7956b05aa1fabfea09ab081">
          <item id="9f604c5af8cc7db37a766fe1001d9ae9c5b1eeb7" isNormal="1">
            <s:text>
              <s:r>
                <s:t xml:space="preserve">Administrator:
工程部：新商户工程配套费，分摊到月度。</s:t>
              </s:r>
            </s:text>
          </item>
        </commentChain>
      </unresolved>
      <resolved/>
    </commentChains>
    <commentChains s:ref="B29" rgbClr="FF0000">
      <unresolved>
        <commentChain chainId="8e23b4988081e2e37c163d577b6a452b65ba0457">
          <item id="fb2e43b982a05770c959a8464163646ec8212591" isNormal="1">
            <s:text>
              <s:r>
                <s:t xml:space="preserve">Administrator:
财务部填写</s:t>
              </s:r>
            </s:text>
          </item>
        </commentChain>
      </unresolved>
      <resolved/>
    </commentChains>
    <commentChains s:ref="B31" rgbClr="FF0000">
      <unresolved>
        <commentChain chainId="29f8fae9ad5099b61bb69b57d8140d7046374c80">
          <item id="62b9680039714cad2b7ba5f03516b26ed8c33ea0" isNormal="1">
            <s:text>
              <s:r>
                <s:t xml:space="preserve">win:
综合部：苗寒春填写，当月购入的费用</s:t>
              </s:r>
            </s:text>
          </item>
        </commentChain>
      </unresolved>
      <resolved/>
    </commentChains>
    <commentChains s:ref="B32" rgbClr="FF0000">
      <unresolved>
        <commentChain chainId="61591486cd4b00ba7c2586e47fad5854e1af1219">
          <item id="8e802af25521604cbcb174b839e2619c2dc01a80" isNormal="1">
            <s:text>
              <s:r>
                <s:t xml:space="preserve">win:
财务：各部门通讯费合计</s:t>
              </s:r>
            </s:text>
          </item>
        </commentChain>
      </unresolved>
      <resolved/>
    </commentChains>
    <commentChains s:ref="B33" rgbClr="FF0000">
      <unresolved>
        <commentChain chainId="cc465e6ddf9e52984f059bd5644cfe0607a204f4">
          <item id="eed8d9cf18d8f865df4162673da0689b937a57e8" isNormal="1">
            <s:text>
              <s:r>
                <s:t xml:space="preserve">Administrator:
综合部：</s:t>
              </s:r>
            </s:text>
          </item>
        </commentChain>
      </unresolved>
      <resolved/>
    </commentChains>
    <commentChains s:ref="B34" rgbClr="FF0000">
      <unresolved>
        <commentChain chainId="d6edd2b8cc6d89e7d0f0ed2a82b03c49a491d7fc">
          <item id="23c1f846cc9b498d328fc5b0d8823bca51629a9f" isNormal="1">
            <s:text>
              <s:r>
                <s:t xml:space="preserve">win:
顾客部：投诉处理费、高端会员活动费等</s:t>
              </s:r>
            </s:text>
          </item>
        </commentChain>
      </unresolved>
      <resolved/>
    </commentChains>
    <commentChains s:ref="D54" rgbClr="FF0000">
      <unresolved>
        <commentChain chainId="447bf20dee3010db4a4a7364dace42b8dcc47a82">
          <item id="6f0a13855499df128cffcb208364a45b525dd502" isNormal="1">
            <s:text>
              <s:r>
                <s:t xml:space="preserve">pc:
福利费（指以钱、物等方式发给员工的）；团建费；食堂费用</s:t>
              </s:r>
            </s:text>
          </item>
        </commentChain>
      </unresolved>
      <resolved/>
    </commentChains>
    <commentChains s:ref="D55" rgbClr="FF0000">
      <unresolved>
        <commentChain chainId="47b2771ed913c4502521e42f50518510be6ede2f">
          <item id="39f4cf7fb909448a5c97798d00e356f19db0c630" isNormal="1">
            <s:text>
              <s:r>
                <s:t xml:space="preserve">pc:
工装、公司配备的防护用品等，以当月实际签收入帐为准</s:t>
              </s:r>
            </s:text>
          </item>
        </commentChain>
      </unresolved>
      <resolved/>
    </commentChains>
  </commentList>
  <commentList sheetStid="4">
    <commentChains s:ref="E3" rgbClr="FF0000">
      <unresolved>
        <commentChain chainId="59d160173884bcbd86354e633f23191bd2e3db5d">
          <item id="0a853b2c071f9e6b4a943742cf7b6c7a0626c81c" isNormal="1">
            <s:text>
              <s:r>
                <s:t xml:space="preserve">去年年底制定的全年计划。</s:t>
              </s:r>
            </s:text>
          </item>
        </commentChain>
      </unresolved>
      <resolved/>
    </commentChains>
    <commentChains s:ref="F3" rgbClr="FF0000">
      <unresolved>
        <commentChain chainId="ecc406e26d287e6c8fe661d46463f6200565c1eb">
          <item id="e4e21cfa6cbab0cc51cd6c32e5650212914927c9" isNormal="1">
            <s:text>
              <s:r>
                <s:t xml:space="preserve">Administrator:
截止到当月累计完成数，本月累计至8月份</s:t>
              </s:r>
            </s:text>
          </item>
        </commentChain>
      </unresolved>
      <resolved/>
    </commentChains>
    <commentChains s:ref="G3" rgbClr="FF0000">
      <unresolved>
        <commentChain chainId="b2159d07252c471743936ea180d23bd4da782924">
          <item id="66fa8d99f284a737cd6930f9209ffd9998d1ebcc" isNormal="1">
            <s:text>
              <s:r>
                <s:t xml:space="preserve">Administrator:
实际数/计划数</s:t>
              </s:r>
            </s:text>
          </item>
        </commentChain>
      </unresolved>
      <resolved/>
    </commentChains>
    <commentChains s:ref="H3" rgbClr="FF0000">
      <unresolved>
        <commentChain chainId="6293ef558587bd086669751248509ab4158f93cd">
          <item id="adc77e5f539e78c62609cb59ef2c7ffa998c3f7a" isNormal="1">
            <s:text>
              <s:r>
                <s:t xml:space="preserve">这个月努力的结果。</s:t>
              </s:r>
            </s:text>
          </item>
        </commentChain>
      </unresolved>
      <resolved/>
    </commentChains>
    <commentChains s:ref="I3" rgbClr="FF0000">
      <unresolved>
        <commentChain chainId="71cb41808221a857b599dfc0064e4b53f013d6f8">
          <item id="a333e4317eaf918e3b9b20b8f55b393f2eaa3d3c" isNormal="1">
            <s:text>
              <s:r>
                <s:t xml:space="preserve">这个月努力的结果。</s:t>
              </s:r>
            </s:text>
          </item>
        </commentChain>
      </unresolved>
      <resolved/>
    </commentChains>
    <commentChains s:ref="J3" rgbClr="FF0000">
      <unresolved>
        <commentChain chainId="0f9edec79538e62ccba8a0c6ec4898bd7525b1d5">
          <item id="5328cf2fad76220da66c4c0d0105d43cdb727259" isNormal="1">
            <s:text>
              <s:r>
                <s:t xml:space="preserve">这个月努力的结果。</s:t>
              </s:r>
            </s:text>
          </item>
        </commentChain>
      </unresolved>
      <resolved/>
    </commentChains>
    <commentChains s:ref="K3" rgbClr="FF0000">
      <unresolved>
        <commentChain chainId="e84edf53a8264bf15ccdcfb9db1cf977153a0ca3">
          <item id="d256a5749c33d3c80478993ed48bc2f4e91355c2" isNormal="1">
            <s:text>
              <s:r>
                <s:t xml:space="preserve">左侧金额/总销售额（A行）*100%</s:t>
              </s:r>
            </s:text>
          </item>
        </commentChain>
      </unresolved>
      <resolved/>
    </commentChains>
    <commentChains s:ref="M3" rgbClr="FF0000">
      <unresolved>
        <commentChain chainId="9f42edc69aeb75c672656570f5f2c824f40822c0">
          <item id="d949baee8ad6b607bd70b7cf9cc7fdaa319e26a2" isNormal="1">
            <s:text>
              <s:r>
                <s:t xml:space="preserve">月度实绩/月度预定*100%</s:t>
              </s:r>
            </s:text>
          </item>
        </commentChain>
      </unresolved>
      <resolved/>
    </commentChains>
    <commentChains s:ref="N3" rgbClr="FF0000">
      <unresolved>
        <commentChain chainId="44d58a58bd38fff0a708541039bd050de8af6ee1">
          <item id="9096e196a6b98465a201aa35e6598b3fa7496346" isNormal="1">
            <s:text>
              <s:r>
                <s:t xml:space="preserve">月度实绩/年度计划当月目标*100%</s:t>
              </s:r>
            </s:text>
          </item>
        </commentChain>
      </unresolved>
      <resolved/>
    </commentChains>
    <commentChains s:ref="E18" rgbClr="FF0000">
      <unresolved>
        <commentChain chainId="b9ac00290f4407580d23b0279486896afd86a612">
          <item id="abbb91db9adbc199a4497d95239611a024691df7" isNormal="1">
            <s:text>
              <s:r>
                <s:t xml:space="preserve">pc3:
能源费总数</s:t>
              </s:r>
            </s:text>
          </item>
        </commentChain>
      </unresolved>
      <resolved/>
    </commentChains>
    <commentChains s:ref="F18" rgbClr="FF0000">
      <unresolved>
        <commentChain chainId="f1486c5c17c5aea8f1ed9bd6e44e8524586516cf">
          <item id="bc3851a757e94ccca70857fdbfe9c8a6b79f0962" isNormal="1">
            <s:text>
              <s:r>
                <s:t xml:space="preserve">pc3:
能源费总数，区分不出商户、公区</s:t>
              </s:r>
            </s:text>
          </item>
        </commentChain>
      </unresolved>
      <resolved/>
    </commentChains>
    <commentChains s:ref="H18" rgbClr="FF0000">
      <unresolved>
        <commentChain chainId="1ba878b43ac235d3aa8ea024a6019c327e1d57ff">
          <item id="8d0fe3e54e7a9187317866843e4510bddb9d4259" isNormal="1">
            <s:text>
              <s:r>
                <s:t xml:space="preserve">pc3:
能源费总数</s:t>
              </s:r>
            </s:text>
          </item>
        </commentChain>
      </unresolved>
      <resolved/>
    </commentChains>
    <commentChains s:ref="I18" rgbClr="FF0000">
      <unresolved>
        <commentChain chainId="a8dec18da6ae01bc47acca4d0a07c6a8b113f8e4">
          <item id="7105c99df4f05b4392ee1e3301173b7caaf110b1" isNormal="1">
            <s:text>
              <s:r>
                <s:t xml:space="preserve">pc3:
能源费总数</s:t>
              </s:r>
            </s:text>
          </item>
        </commentChain>
      </unresolved>
      <resolved/>
    </commentChains>
    <commentChains s:ref="B36" rgbClr="FF0000">
      <unresolved>
        <commentChain chainId="90379be8f11a778b1caef0bcee337e017f70aea6">
          <item id="933ff1a479450a2f5a727ac49ad36d175c0c1caa" isNormal="1">
            <s:text>
              <s:r>
                <s:t xml:space="preserve">1、结算收益代表公司产生的附加价值，只不过不包含人工费；
2、结算收益＞人工费代表不亏钱。</s:t>
              </s:r>
            </s:text>
          </item>
        </commentChain>
      </unresolved>
      <resolved/>
    </commentChains>
    <commentChains s:ref="B37" rgbClr="FF0000">
      <unresolved>
        <commentChain chainId="3f43511eac1d55fde5b62665c4e8d400bb8dcc19">
          <item id="adc244ddf32d7afe076f0d4140801c1803243a7a" isNormal="1">
            <s:text>
              <s:r>
                <s:t xml:space="preserve">总时间=正常出勤时间+加班时间，请假、休假应当扣除不计入出勤时间。</s:t>
              </s:r>
            </s:text>
          </item>
        </commentChain>
      </unresolved>
      <resolved/>
    </commentChains>
    <commentChains s:ref="B43" rgbClr="FF0000">
      <unresolved>
        <commentChain chainId="e003a4d215e3f1a1bb6cd876686606e0f12ec579">
          <item id="8098a7233ed2024105fe341375a30285bfac12dd" isNormal="1">
            <s:text>
              <s:r>
                <s:t xml:space="preserve">1、单位时间附加值=结算收益/总时间；
2、代表每小时创造的附加价值。</s:t>
              </s:r>
            </s:text>
          </item>
        </commentChain>
      </unresolved>
      <resolved/>
    </commentChains>
    <commentChains s:ref="B44" rgbClr="FF0000">
      <unresolved>
        <commentChain chainId="0e38a04f5e73846ab912629647c926752a77d74b">
          <item id="b968069bcb0d6ba2c6eed0ed394c997c587e9d20" isNormal="1">
            <s:text>
              <s:r>
                <s:t xml:space="preserve">1、人数=月初公司人员数或（月初+月底之和/2)；一旦选择了某种人数确认方式，则每个月的标准要一致，不能变；
2、控制人数对提升单位时间附加值很重要。</s:t>
              </s:r>
            </s:text>
          </item>
        </commentChain>
      </unresolved>
      <resolved/>
    </commentChains>
    <commentChains s:ref="B45" rgbClr="FF0000">
      <unresolved>
        <commentChain chainId="f62e08240d8aa3aaefa4e4eea04942a6dba16673">
          <item id="9f63f6dc28641492f770397ad12a35599b95c03a" isNormal="1">
            <s:text>
              <s:r>
                <s:t xml:space="preserve">1、人均销售额=总销售额/销售人数</s:t>
              </s:r>
            </s:text>
          </item>
        </commentChain>
      </unresolved>
      <resolved/>
    </commentChains>
    <commentChains s:ref="A49" rgbClr="FF0000">
      <unresolved>
        <commentChain chainId="6036442ff7669fac21576803a4ea10b7913c424c">
          <item id="e9e86ff95b7dcb8655b92da4382f8d7fe919cd05" isNormal="1">
            <s:text>
              <s:r>
                <s:t xml:space="preserve">1、栏外部分为企业个性化数据，每家企业根据自己的情况以及经营者关注的点不同，可以自行添加或者修改；
2、比如可以统计本月应收账款，累计应收账款、库存余额等等。
</s:t>
              </s:r>
            </s:text>
          </item>
        </commentChain>
      </unresolved>
      <resolved/>
    </commentChains>
    <commentChains s:ref="BN54" rgbClr="FF0000">
      <unresolved>
        <commentChain chainId="12cf463f0350060e64aaddc579db5c3a8ab458d5">
          <item id="f913899a73de017d4805cc79e0c17fc239aec0fb" isNormal="1">
            <s:text>
              <s:r>
                <s:t xml:space="preserve">棉花糖:
一线服务人员体检费</s:t>
              </s:r>
            </s:text>
          </item>
        </commentChain>
      </unresolved>
      <resolved/>
    </commentChains>
  </commentList>
  <commentList sheetStid="10">
    <commentChains s:ref="F2" rgbClr="FF0000">
      <unresolved>
        <commentChain chainId="8a568dea7844dc04cbd4ba84161db07e23820f07">
          <item id="7c2df8647e6557f57d537e75754bf491b6e6209c" isNormal="1">
            <s:text>
              <s:r>
                <s:t xml:space="preserve">去年年底制定年度计划时就已经分解的新一年的每个月的月度分解目标。</s:t>
              </s:r>
            </s:text>
          </item>
        </commentChain>
      </unresolved>
      <resolved/>
    </commentChains>
    <commentChains s:ref="G2" rgbClr="FF0000">
      <unresolved>
        <commentChain chainId="aff6cac3e9d8b2f6724b3fbe6d4c26589f784821">
          <item id="e3fcf1f6b5e755a67d8b2e358dfad749dbb69dee" isNormal="1">
            <s:text>
              <s:r>
                <s:t xml:space="preserve">左侧金额/总销售额（A5行）*100%</s:t>
              </s:r>
            </s:text>
          </item>
        </commentChain>
      </unresolved>
      <resolved/>
    </commentChains>
    <commentChains s:ref="H2" rgbClr="FF0000">
      <unresolved>
        <commentChain chainId="9b595edccc56289a6ea95a6a3ac32677d0bcaa3d">
          <item id="095aae100dc605c84cbb8594a95ad95b4913cb14" isNormal="1">
            <s:text>
              <s:r>
                <s:t xml:space="preserve">到了这个月来临前，根据当前的形势和情况，针对F列的当月目标进行调整得到的目标数据。</s:t>
              </s:r>
            </s:text>
          </item>
        </commentChain>
      </unresolved>
      <resolved/>
    </commentChains>
    <commentChains s:ref="I2" rgbClr="FF0000">
      <unresolved>
        <commentChain chainId="be1883c741d99a4bca4271508626366541dfd910">
          <item id="cc05cdba367db28076dc142b4ed5597e6531f3f2" isNormal="1">
            <s:text>
              <s:r>
                <s:t xml:space="preserve">左侧金额/总销售额（A5行）*100%</s:t>
              </s:r>
            </s:text>
          </item>
        </commentChain>
      </unresolved>
      <resolved/>
    </commentChains>
    <commentChains s:ref="J2" rgbClr="FF0000">
      <unresolved>
        <commentChain chainId="236d361d17d236c9708e70730dc8244b6d782ebb">
          <item id="da681a7053e508c11d4c91e9f4f874ed00720687" isNormal="1">
            <s:text>
              <s:r>
                <s:t xml:space="preserve">这个月努力的结果。</s:t>
              </s:r>
            </s:text>
          </item>
        </commentChain>
      </unresolved>
      <resolved/>
    </commentChains>
    <commentChains s:ref="K2" rgbClr="FF0000">
      <unresolved>
        <commentChain chainId="4d21ed01b38d0d1c16802ff185df5a16bfc65222">
          <item id="8d8137d14eb7eaf46ebde0aaca7fd24fe83a03a1" isNormal="1">
            <s:text>
              <s:r>
                <s:t xml:space="preserve">左侧金额/总销售额（A5行）*100%</s:t>
              </s:r>
            </s:text>
          </item>
        </commentChain>
      </unresolved>
      <resolved/>
    </commentChains>
    <commentChains s:ref="L2" rgbClr="FF0000">
      <unresolved>
        <commentChain chainId="5d9ab591acdd2b35f2c615bd4b36fa115fbc0119">
          <item id="ac708a948c59023c4da2bed735ee48c65c54c316" isNormal="1">
            <s:text>
              <s:r>
                <s:t xml:space="preserve">月度实绩—月度预定的差额。</s:t>
              </s:r>
            </s:text>
          </item>
        </commentChain>
      </unresolved>
      <resolved/>
    </commentChains>
    <commentChains s:ref="M2" rgbClr="FF0000">
      <unresolved>
        <commentChain chainId="73023b43d33aed67705659db0c7cd8cf39cd8d89">
          <item id="8a293d67dc1ae1f49f89985f37040506b0d73e11" isNormal="1">
            <s:text>
              <s:r>
                <s:t xml:space="preserve">月度实绩/月度预定*100%</s:t>
              </s:r>
            </s:text>
          </item>
        </commentChain>
      </unresolved>
      <resolved/>
    </commentChains>
    <commentChains s:ref="N2" rgbClr="FF0000">
      <unresolved>
        <commentChain chainId="e383605f132debcd3d11f017487a769b22643a00">
          <item id="b6f5b384d1cc263becd31d801044702059312f1d" isNormal="1">
            <s:text>
              <s:r>
                <s:t xml:space="preserve">月度实绩/年度计划当月目标*100%</s:t>
              </s:r>
            </s:text>
          </item>
        </commentChain>
      </unresolved>
      <resolved/>
    </commentChains>
    <commentChains s:ref="C6" rgbClr="FF0000">
      <unresolved>
        <commentChain chainId="ebd3938a577dcd35c47049c871a4de6ec69e1d07">
          <item id="237a55db8b787bf88b7cbbc7bf4bf1933a3b057d" isNormal="1">
            <s:text>
              <s:r>
                <s:t xml:space="preserve">pc:
不含税</s:t>
              </s:r>
            </s:text>
          </item>
        </commentChain>
      </unresolved>
      <resolved/>
    </commentChains>
    <commentChains s:ref="C11" rgbClr="FF0000">
      <unresolved>
        <commentChain chainId="44711c47c46f6f51907b4dbe06db87a149ec0c6d">
          <item id="4e91edb3ab9a16e30b612bcc3fba778ec0dc0f0a" isNormal="1">
            <s:text>
              <s:r>
                <s:t xml:space="preserve">1、结算收益代表公司产生的附加价值，只不过不包含人工费；
2、结算收益＞人工费代表不亏钱。</s:t>
              </s:r>
            </s:text>
          </item>
        </commentChain>
      </unresolved>
      <resolved/>
    </commentChains>
    <commentChains s:ref="C14" rgbClr="FF0000">
      <unresolved>
        <commentChain chainId="d8260a8edd7f630b84c3a8e72326009338342211">
          <item id="521eef37391f21a54c846c616319c6c459c0fb98" isNormal="1">
            <s:text>
              <s:r>
                <s:t xml:space="preserve">总时间=正常出勤时间+加班时间，请假、休假应当扣除不计入出勤时间。</s:t>
              </s:r>
            </s:text>
          </item>
        </commentChain>
      </unresolved>
      <resolved/>
    </commentChains>
    <commentChains s:ref="C15" rgbClr="FF0000">
      <unresolved>
        <commentChain chainId="295a172a8590439615251ea5769d9724ab110e35">
          <item id="0883d131aa2fccff9bb17ce80cefad288a6006f7" isNormal="1">
            <s:text>
              <s:r>
                <s:t xml:space="preserve">1、单位时间附加值=结算收益/总时间；
2、代表每小时创造的附加价值。</s:t>
              </s:r>
            </s:text>
          </item>
        </commentChain>
      </unresolved>
      <resolved/>
    </commentChains>
    <commentChains s:ref="C16" rgbClr="FF0000">
      <unresolved>
        <commentChain chainId="b56133b013c52871bfdf842442d2eda7e20fe9cc">
          <item id="259ca5ad9b7adab038c004910abecf445fdc36cf" isNormal="1">
            <s:text>
              <s:r>
                <s:t xml:space="preserve">1、人数=月初公司人员数或（月初+月底之和/2)；一旦选择了某种人数确认方式，则每个月的标准要一致，不能变；
2、控制人数对提升单位时间附加值很重要。</s:t>
              </s:r>
            </s:text>
          </item>
        </commentChain>
      </unresolved>
      <resolved/>
    </commentChains>
    <commentChains s:ref="A18" rgbClr="FF0000">
      <unresolved>
        <commentChain chainId="d56e361e727698b8506b1e15e3d308c7e55d47d3">
          <item id="07ffe48592327cca2ff2ef1ae0774e39dff00aa0" isNormal="1">
            <s:text>
              <s:r>
                <s:t xml:space="preserve">1、栏外部分为企业个性化数据，每家企业根据自己的情况以及经营者关注的点不同，可以自行添加或者修改；
</s:t>
              </s:r>
            </s:text>
          </item>
        </commentChain>
      </unresolved>
      <resolved/>
    </commentChains>
  </commentList>
  <commentList sheetStid="9">
    <commentChains s:ref="F2" rgbClr="FF0000">
      <unresolved>
        <commentChain chainId="5bc16eea92528652a22f41c435c6117fc8d8d51b">
          <item id="28bc279535944e5b5e18874fcbb6bce82e940a94" isNormal="1">
            <s:text>
              <s:r>
                <s:t xml:space="preserve">Administrator:
年度分解的7月预算数</s:t>
              </s:r>
            </s:text>
          </item>
        </commentChain>
      </unresolved>
      <resolved/>
    </commentChains>
    <commentChains s:ref="B3" rgbClr="FF0000">
      <unresolved>
        <commentChain chainId="3b7c41939df22a28b4bf95ee6262cdb47fe0200c">
          <item id="24f534b90f5897641d664635f093f651d0d0d394" isNormal="1">
            <s:text>
              <s:r>
                <s:t xml:space="preserve">pc:
招商部：不含开乐影城，指合同额。</s:t>
              </s:r>
            </s:text>
          </item>
        </commentChain>
      </unresolved>
      <resolved/>
    </commentChains>
    <commentChains s:ref="B7" rgbClr="FF0000">
      <unresolved>
        <commentChain chainId="4d923da278b2bc7ee14ee5e2acf576059f14bedb">
          <item id="0a1120dad23caa443acc354e0fc2439a830bde8e" isNormal="1">
            <s:text>
              <s:r>
                <s:t xml:space="preserve">Administrator:
收入</s:t>
              </s:r>
            </s:text>
          </item>
        </commentChain>
      </unresolved>
      <resolved/>
    </commentChains>
    <commentChains s:ref="B8" rgbClr="FF0000">
      <unresolved>
        <commentChain chainId="c792d0dc859f7681a1e1137c45288dc3f09d9b0f">
          <item id="dcf9f1632edcc89a0c5d4cc6d9e2ae029fdc50d1" isNormal="1">
            <s:text>
              <s:r>
                <s:t xml:space="preserve">Administrator:
财务部，包括收银机服务费、工程特约维修款等</s:t>
              </s:r>
            </s:text>
          </item>
        </commentChain>
      </unresolved>
      <resolved/>
    </commentChains>
    <commentChains s:ref="B9" rgbClr="FF0000">
      <unresolved>
        <commentChain chainId="9e428e284e260d709500b750f0b5ddfb3ee20e28">
          <item id="2067e7027155c5421c6a4b6d7f5f57b918ed07f3" isNormal="1">
            <s:text>
              <s:r>
                <s:t xml:space="preserve">Administrator:
包括美食广场、馋嘴巷子</s:t>
              </s:r>
            </s:text>
          </item>
        </commentChain>
      </unresolved>
      <resolved/>
    </commentChains>
    <commentChains s:ref="B10" rgbClr="FF0000">
      <unresolved>
        <commentChain chainId="e15e8cb97f8f4351c784c33d142333eee6177341">
          <item id="649fa29aee42acfc4ec67e736d64eac947031a8f" isNormal="1">
            <s:text>
              <s:r>
                <s:t xml:space="preserve">Administrator:
安环部填写，收入</s:t>
              </s:r>
            </s:text>
          </item>
        </commentChain>
      </unresolved>
      <resolved/>
    </commentChains>
    <commentChains s:ref="B11" rgbClr="FF0000">
      <unresolved>
        <commentChain chainId="0c1ac316a4268bc27fb4bd20037422b97eba9a4f">
          <item id="b7c847fd8311d12c39317d4a24daedd619c08846" isNormal="1">
            <s:text>
              <s:r>
                <s:t xml:space="preserve">Administrator:
财务部填写，希尔顿租金</s:t>
              </s:r>
            </s:text>
          </item>
        </commentChain>
      </unresolved>
      <resolved/>
    </commentChains>
    <commentChains s:ref="B12" rgbClr="FF0000">
      <unresolved>
        <commentChain chainId="3cab471ccd6cdf70833c3e2247750a192e16026f">
          <item id="90ac9793393f8e4a682cd1dd543a6a4cd62544c0" isNormal="1">
            <s:text>
              <s:r>
                <s:t xml:space="preserve">Administrator:
工程部填写，商户能源费总额</s:t>
              </s:r>
            </s:text>
          </item>
        </commentChain>
      </unresolved>
      <resolved/>
    </commentChains>
    <commentChains s:ref="B13" rgbClr="FF0000">
      <unresolved>
        <commentChain chainId="783c94652e321759e440ab4ee63494968327f45d">
          <item id="0092a860d435cc726b020fc3a13c7830ae3b337c" isNormal="1">
            <s:text>
              <s:r>
                <s:t xml:space="preserve">Administrator:
推广部市场收入</s:t>
              </s:r>
            </s:text>
          </item>
        </commentChain>
      </unresolved>
      <resolved/>
    </commentChains>
    <commentChains s:ref="B14" rgbClr="FF0000">
      <unresolved>
        <commentChain chainId="db15bbc0899e9c271aeabc437499af5e9f81e691">
          <item id="a36f8e973389264c62c750b50f8aaeb2e503bccb" isNormal="1">
            <s:text>
              <s:r>
                <s:t xml:space="preserve">Administrator:
开乐影城经营利润</s:t>
              </s:r>
            </s:text>
          </item>
        </commentChain>
      </unresolved>
      <resolved/>
    </commentChains>
    <commentChains s:ref="B18" rgbClr="FF0000">
      <unresolved>
        <commentChain chainId="3564687ec06a14d5c587998ba8dda2082943b715">
          <item id="96f2ea43c67d6d9220efa5412968f70ac705caa2" isNormal="1">
            <s:text>
              <s:r>
                <s:t xml:space="preserve">pc:
工程部指为商户垫付的电费、水费。</s:t>
              </s:r>
            </s:text>
          </item>
        </commentChain>
      </unresolved>
      <resolved/>
    </commentChains>
    <commentChains s:ref="B19" rgbClr="FF0000">
      <unresolved>
        <commentChain chainId="97978352ecff98c7d9511bb4fbfe3dff52ce5934">
          <item id="fceb49b2d354d7ac974cef2e5eec599db773d512" isNormal="1">
            <s:text>
              <s:r>
                <s:t xml:space="preserve">Administrator:
工程威高广场能源费</s:t>
              </s:r>
            </s:text>
          </item>
        </commentChain>
      </unresolved>
      <resolved/>
    </commentChains>
    <commentChains s:ref="F19" rgbClr="FF0000">
      <unresolved>
        <commentChain chainId="a400f98a22afa62d39cbc451886bc3912c050838">
          <item id="2efe3c319d4356963ccb2dd0218fcc22da79a50a" userID="1155021770" userName="vivichen" dateTime="2026-03-04T07:43:59" isNormal="0">
            <s:text>
              <s:r>
                <s:t xml:space="preserve">总数</s:t>
              </s:r>
            </s:text>
          </item>
        </commentChain>
      </unresolved>
      <resolved/>
    </commentChains>
    <commentChains s:ref="G19" rgbClr="FF0000">
      <unresolved>
        <commentChain chainId="2cc96269254cacf799ad46a2e23059c5dce07238">
          <item id="ac6fc99e13fc77b27fadf331d5acef00f1faa3c9" userID="1155021770" userName="vivichen" dateTime="2026-03-04T07:43:59" isNormal="0">
            <s:text>
              <s:r>
                <s:t xml:space="preserve">总数</s:t>
              </s:r>
            </s:text>
          </item>
        </commentChain>
      </unresolved>
      <resolved/>
    </commentChains>
    <commentChains s:ref="B20" rgbClr="FF0000">
      <unresolved>
        <commentChain chainId="bcf0d27ef0ea73819bfe0a490d6c3d02eee46e1d">
          <item id="94f0f735589b8d84a49403b8fed69fd52edfaf74" isNormal="1">
            <s:text>
              <s:r>
                <s:t xml:space="preserve">Administrator:
推广部+美食广场合计数</s:t>
              </s:r>
            </s:text>
          </item>
        </commentChain>
      </unresolved>
      <resolved/>
    </commentChains>
    <commentChains s:ref="B21" rgbClr="FF0000">
      <unresolved>
        <commentChain chainId="9cfecc67a317a3da736eca09f15e55df24713f89">
          <item id="b000800baeb6a4ddb035d173a989eeada3f81dac" isNormal="1">
            <s:text>
              <s:r>
                <s:t xml:space="preserve">Administrator:
安环部外包方（保洁、理石、高空）</s:t>
              </s:r>
            </s:text>
          </item>
        </commentChain>
      </unresolved>
      <resolved/>
    </commentChains>
    <commentChains s:ref="B22" rgbClr="FF0000">
      <unresolved>
        <commentChain chainId="1dea6d7294c768344ebf2b4777f4b3e4a7c027ed">
          <item id="3ec221c59de583523aaec8638dbd85203fc6312f" isNormal="1">
            <s:text>
              <s:r>
                <s:t xml:space="preserve">Administrator:
工程部出具包括工程+美食广场</s:t>
              </s:r>
            </s:text>
          </item>
        </commentChain>
      </unresolved>
      <resolved/>
    </commentChains>
    <commentChains s:ref="D22" rgbClr="FF0000">
      <unresolved>
        <commentChain chainId="70affd8156e280daecdabb2ea4e25003a133a3ae">
          <item id="d6bcbabbde4fc2403202e2e1a9056682900417c1" isNormal="1">
            <s:text>
              <s:r>
                <s:t xml:space="preserve">Administrator:
工程部：威高广场维修费</s:t>
              </s:r>
            </s:text>
          </item>
        </commentChain>
      </unresolved>
      <resolved/>
    </commentChains>
    <commentChains s:ref="B23" rgbClr="FF0000">
      <unresolved>
        <commentChain chainId="9ecbf2db8b886b7f5a2464628b41ce1bede33b31">
          <item id="9bbf355ff0e8fe4ba1072ed39aa33a49d0022ff3" isNormal="1">
            <s:text>
              <s:r>
                <s:t xml:space="preserve">Administrator:
工程部，包括设备设施维保费、工程类信息系统维保费</s:t>
              </s:r>
            </s:text>
          </item>
        </commentChain>
      </unresolved>
      <resolved/>
    </commentChains>
    <commentChains s:ref="B25" rgbClr="FF0000">
      <unresolved>
        <commentChain chainId="dfc94f38089f597dd384b0e35d5a8602e8365939">
          <item id="5c04357dc0a7ea5799c5022f8fd9990d35c9d964" isNormal="1">
            <s:text>
              <s:r>
                <s:t xml:space="preserve">Administrator:
工程部：新商户工程配套费，分摊到月度。</s:t>
              </s:r>
            </s:text>
          </item>
        </commentChain>
      </unresolved>
      <resolved/>
    </commentChains>
    <commentChains s:ref="B29" rgbClr="FF0000">
      <unresolved>
        <commentChain chainId="3f6c99bac2bef63aac7f1b8f3e9a681b3da5f156">
          <item id="8a38bad45702142a48806172a5701fe40af26746" isNormal="1">
            <s:text>
              <s:r>
                <s:t xml:space="preserve">Administrator:
财务部填写</s:t>
              </s:r>
            </s:text>
          </item>
        </commentChain>
      </unresolved>
      <resolved/>
    </commentChains>
    <commentChains s:ref="B31" rgbClr="FF0000">
      <unresolved>
        <commentChain chainId="f01ff8cd5d14f9c62b0208d7dd46086e943284f1">
          <item id="435da595ba39119f54b51853955e8121a852873b" isNormal="1">
            <s:text>
              <s:r>
                <s:t xml:space="preserve">win:
综合部：苗寒春填写，当月购入的费用</s:t>
              </s:r>
            </s:text>
          </item>
        </commentChain>
      </unresolved>
      <resolved/>
    </commentChains>
    <commentChains s:ref="B32" rgbClr="FF0000">
      <unresolved>
        <commentChain chainId="7b6653a59ea2a91becd16ca381e25dbc1f0b1b19">
          <item id="9377da8c8a66af105db936c68c9c48b9a9669c32" isNormal="1">
            <s:text>
              <s:r>
                <s:t xml:space="preserve">win:
财务：各部门通讯费合计</s:t>
              </s:r>
            </s:text>
          </item>
        </commentChain>
      </unresolved>
      <resolved/>
    </commentChains>
    <commentChains s:ref="B33" rgbClr="FF0000">
      <unresolved>
        <commentChain chainId="b228b7baecc64ff7ea40cdd544af6c37cbfd2f4a">
          <item id="d26b20f25e75587b3eaa86fc5d88a45071a1315e" isNormal="1">
            <s:text>
              <s:r>
                <s:t xml:space="preserve">Administrator:
综合部：</s:t>
              </s:r>
            </s:text>
          </item>
        </commentChain>
      </unresolved>
      <resolved/>
    </commentChains>
    <commentChains s:ref="B34" rgbClr="FF0000">
      <unresolved>
        <commentChain chainId="e37214d6feddca98e131fc354030285c5f0770d2">
          <item id="3da7a9eb9acfa0872eff08af9767887fe95d3d40" isNormal="1">
            <s:text>
              <s:r>
                <s:t xml:space="preserve">win:
顾客部：投诉处理费、高端会员活动费等</s:t>
              </s:r>
            </s:text>
          </item>
        </commentChain>
      </unresolved>
      <resolved/>
    </commentChains>
    <commentChains s:ref="D54" rgbClr="FF0000">
      <unresolved>
        <commentChain chainId="6a5db9ee477178ad1c27631d4a9475dd2b607d7b">
          <item id="d4e40064d11e749fb0bd1ccc17bf4285001e9bf3" isNormal="1">
            <s:text>
              <s:r>
                <s:t xml:space="preserve">pc:
福利费（指以钱、物等方式发给员工的）；团建费；食堂费用</s:t>
              </s:r>
            </s:text>
          </item>
        </commentChain>
      </unresolved>
      <resolved/>
    </commentChains>
    <commentChains s:ref="D55" rgbClr="FF0000">
      <unresolved>
        <commentChain chainId="5349e9a93093f3c4320eae995a3a2d118b5b868e">
          <item id="8004c5cb46c6d5a7787fa13e373d77a628b9c692" isNormal="1">
            <s:text>
              <s:r>
                <s:t xml:space="preserve">pc:
工装、公司配备的防护用品等，以当月实际签收入帐为准</s:t>
              </s:r>
            </s:text>
          </item>
        </commentChain>
      </unresolved>
      <resolved/>
    </commentChains>
  </commentList>
</comments>
</file>

<file path=customXml/item3.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sProps>
  <woBookProps>
    <bookSettings fileId="497610582263" isFilterShared="1" woEtMtcEnabled="0" coreConquerUserId="" isAutoUpdatePaused="0" filterType="conn" isMergeTasksAutoUpdate="0" isInserPicAsAttachment="0" supportDbFmlaDisp="0"/>
  </woBookProps>
</woProps>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商管公司1月实际</vt:lpstr>
      <vt:lpstr>威高广场1月实际</vt:lpstr>
      <vt:lpstr>威高广场推移表</vt:lpstr>
      <vt:lpstr>1月时间实际</vt:lpstr>
      <vt:lpstr>商管公司2月实际</vt:lpstr>
      <vt:lpstr>威高广场2月实际</vt:lpstr>
      <vt:lpstr>2月时间实际 </vt:lpstr>
      <vt:lpstr>商管公司3月实际</vt:lpstr>
      <vt:lpstr>威高广场3月实际</vt:lpstr>
      <vt:lpstr>3月时间实际</vt:lpstr>
      <vt:lpstr>商管公司4月预定</vt:lpstr>
      <vt:lpstr>威高广场4月预定</vt:lpstr>
      <vt:lpstr>4月时间预定</vt:lpstr>
      <vt:lpstr>科目明细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c:creator>
  <cp:lastModifiedBy>ysl</cp:lastModifiedBy>
  <dcterms:created xsi:type="dcterms:W3CDTF">2026-01-22T23:08:00Z</dcterms:created>
  <dcterms:modified xsi:type="dcterms:W3CDTF">2026-04-02T03:27:19Z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B3FBBCCDBB1E494C94A70039796F4228_11</vt:lpwstr>
  </property>
  <property fmtid="{D5CDD505-2E9C-101B-9397-08002B2CF9AE}" pid="3" name="KSOProductBuildVer">
    <vt:lpwstr>2052-12.1.0.24657</vt:lpwstr>
  </property>
  <property fmtid="{D5CDD505-2E9C-101B-9397-08002B2CF9AE}" pid="4" name="CalculationRule">
    <vt:i4>1</vt:i4>
  </property>
</Properties>
</file>