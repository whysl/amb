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firstSheet="3" activeTab="10"/>
  </bookViews>
  <sheets>
    <sheet name="2025年7月份核算表" sheetId="3" state="hidden" r:id="rId1"/>
    <sheet name="2025年8月份核算表" sheetId="1" state="hidden" r:id="rId2"/>
    <sheet name="2025年9月份核算表" sheetId="4" state="hidden" r:id="rId3"/>
    <sheet name="10月核算表" sheetId="5" r:id="rId4"/>
    <sheet name="11月核算表" sheetId="6" r:id="rId5"/>
    <sheet name="12月核算表" sheetId="9" r:id="rId6"/>
    <sheet name="1-11月核算表汇总" sheetId="7" state="hidden" r:id="rId7"/>
    <sheet name="收入和费用" sheetId="8" r:id="rId8"/>
    <sheet name="2026年1月核算" sheetId="10" r:id="rId9"/>
    <sheet name="2026年2月核算" sheetId="12" r:id="rId10"/>
    <sheet name="2026年3月核算" sheetId="14" r:id="rId11"/>
    <sheet name="2026年4月核算" sheetId="15" r:id="rId12"/>
    <sheet name="2026年1-12月核算" sheetId="13" r:id="rId13"/>
    <sheet name="Sheet1" sheetId="11" r:id="rId14"/>
    <sheet name="2025年1-8月份核算汇总表" sheetId="2" state="hidden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苏建坤</author>
  </authors>
  <commentList>
    <comment ref="G6" authorId="0">
      <text>
        <r>
          <rPr>
            <b/>
            <sz val="9"/>
            <rFont val="宋体"/>
            <charset val="134"/>
          </rPr>
          <t>苏建坤:</t>
        </r>
        <r>
          <rPr>
            <sz val="9"/>
            <rFont val="宋体"/>
            <charset val="134"/>
          </rPr>
          <t xml:space="preserve">
外部市场：
1、蔚来汽车：40000
2、乐道汽车：50000
3、长城汽车：41666.8
4、慕斯：38000
5、凯迪拉克：25000
6、汽车之家：20000
7、奇瑞汽车：25000
8、上汽奥迪：5600
9、沃尔沃汽车：3600
内部市场：
1、迪巧钙片：12000
2、乐高：4000
3、领世贵学：4000
4、茶话弄：3600
5、牧童宝贝王：3000
6、KOLON SPORT：4810
7、 锅当当：4150
8、</t>
        </r>
      </text>
    </comment>
  </commentList>
</comments>
</file>

<file path=xl/comments2.xml><?xml version="1.0" encoding="utf-8"?>
<comments xmlns="http://schemas.openxmlformats.org/spreadsheetml/2006/main">
  <authors>
    <author>苏建坤</author>
  </authors>
  <commentList>
    <comment ref="G6" authorId="0">
      <text>
        <r>
          <rPr>
            <b/>
            <sz val="9"/>
            <rFont val="宋体"/>
            <charset val="134"/>
          </rPr>
          <t>苏建坤:</t>
        </r>
        <r>
          <rPr>
            <sz val="9"/>
            <rFont val="宋体"/>
            <charset val="134"/>
          </rPr>
          <t xml:space="preserve">
外部市场：
1、 smart 汽车：3600
2、昊铂汽车：15000
3、MG名爵汽车：25000
4、长城智选：20833.4
内部市场：
1、上海鹊霖有限公司：32050
2、千味捞火锅：18000
3、路见壹家：13500
4、朱光玉：8000</t>
        </r>
      </text>
    </comment>
  </commentList>
</comments>
</file>

<file path=xl/comments3.xml><?xml version="1.0" encoding="utf-8"?>
<comments xmlns="http://schemas.openxmlformats.org/spreadsheetml/2006/main">
  <authors>
    <author>苏建坤</author>
  </authors>
  <commentList>
    <comment ref="G6" authorId="0">
      <text>
        <r>
          <rPr>
            <b/>
            <sz val="9"/>
            <rFont val="宋体"/>
            <charset val="134"/>
          </rPr>
          <t>苏建坤:</t>
        </r>
        <r>
          <rPr>
            <sz val="9"/>
            <rFont val="宋体"/>
            <charset val="134"/>
          </rPr>
          <t xml:space="preserve">
外部市场：
1、 smart 汽车：3600
2、昊铂汽车：15000
3、MG名爵汽车：25000
4、长城智选：20833.4
内部市场：
1、上海鹊霖有限公司：32050
2、千味捞火锅：18000
3、路见壹家：13500
4、朱光玉：8000</t>
        </r>
      </text>
    </comment>
  </commentList>
</comments>
</file>

<file path=xl/comments4.xml><?xml version="1.0" encoding="utf-8"?>
<comments xmlns="http://schemas.openxmlformats.org/spreadsheetml/2006/main">
  <authors>
    <author>苏建坤</author>
  </authors>
  <commentList>
    <comment ref="I10" authorId="0">
      <text>
        <r>
          <rPr>
            <b/>
            <sz val="9"/>
            <rFont val="宋体"/>
            <charset val="134"/>
          </rPr>
          <t>苏建坤:</t>
        </r>
        <r>
          <rPr>
            <sz val="9"/>
            <rFont val="宋体"/>
            <charset val="134"/>
          </rPr>
          <t xml:space="preserve">
民俗村25年的：
48377.8</t>
        </r>
      </text>
    </comment>
    <comment ref="I51" authorId="0">
      <text>
        <r>
          <rPr>
            <b/>
            <sz val="9"/>
            <rFont val="宋体"/>
            <charset val="134"/>
          </rPr>
          <t>苏建坤:</t>
        </r>
        <r>
          <rPr>
            <sz val="9"/>
            <rFont val="宋体"/>
            <charset val="134"/>
          </rPr>
          <t xml:space="preserve">
新增：23万 
AB馆美陈16万
A馆中庭美陈7万
</t>
        </r>
      </text>
    </comment>
  </commentList>
</comments>
</file>

<file path=xl/comments5.xml><?xml version="1.0" encoding="utf-8"?>
<comments xmlns="http://schemas.openxmlformats.org/spreadsheetml/2006/main">
  <authors>
    <author>苏建坤</author>
  </authors>
  <commentList>
    <comment ref="W13" authorId="0">
      <text>
        <r>
          <rPr>
            <b/>
            <sz val="9"/>
            <rFont val="宋体"/>
            <charset val="134"/>
          </rPr>
          <t>苏建坤:</t>
        </r>
        <r>
          <rPr>
            <sz val="9"/>
            <rFont val="宋体"/>
            <charset val="134"/>
          </rPr>
          <t xml:space="preserve">
新增：23万 
AB馆美陈16万
A馆中庭美陈7万
</t>
        </r>
      </text>
    </comment>
    <comment ref="I52" authorId="0">
      <text>
        <r>
          <rPr>
            <b/>
            <sz val="9"/>
            <rFont val="宋体"/>
            <charset val="134"/>
          </rPr>
          <t>苏建坤:</t>
        </r>
        <r>
          <rPr>
            <sz val="9"/>
            <rFont val="宋体"/>
            <charset val="134"/>
          </rPr>
          <t xml:space="preserve">
大头总计：284000元
1、AB馆电子屏租赁：159000元
2、中庭美陈：68000元
3、盒马快闪：57000元</t>
        </r>
      </text>
    </comment>
  </commentList>
</comments>
</file>

<file path=xl/comments6.xml><?xml version="1.0" encoding="utf-8"?>
<comments xmlns="http://schemas.openxmlformats.org/spreadsheetml/2006/main">
  <authors>
    <author>苏建坤</author>
  </authors>
  <commentList>
    <comment ref="W13" authorId="0">
      <text>
        <r>
          <rPr>
            <b/>
            <sz val="9"/>
            <rFont val="宋体"/>
            <charset val="134"/>
          </rPr>
          <t>苏建坤:</t>
        </r>
        <r>
          <rPr>
            <sz val="9"/>
            <rFont val="宋体"/>
            <charset val="134"/>
          </rPr>
          <t xml:space="preserve">
大头总计：284000元
1、AB馆电子屏租赁：159000元
2、中庭美陈：68000元
3、盒马快闪：57000元</t>
        </r>
      </text>
    </comment>
  </commentList>
</comments>
</file>

<file path=xl/sharedStrings.xml><?xml version="1.0" encoding="utf-8"?>
<sst xmlns="http://schemas.openxmlformats.org/spreadsheetml/2006/main" count="1767" uniqueCount="196">
  <si>
    <t xml:space="preserve"> 威高商管   单位时间核算表 2025年7月份</t>
  </si>
  <si>
    <t>项目</t>
  </si>
  <si>
    <t>计算公式</t>
  </si>
  <si>
    <t>类别</t>
  </si>
  <si>
    <t>（1）预定业绩</t>
  </si>
  <si>
    <t>（2）实际业绩</t>
  </si>
  <si>
    <t>差异分析（2）-（1）</t>
  </si>
  <si>
    <t>预定数值</t>
  </si>
  <si>
    <t>销售额占比</t>
  </si>
  <si>
    <t>实际数值</t>
  </si>
  <si>
    <t>差异金额</t>
  </si>
  <si>
    <t>差异占比</t>
  </si>
  <si>
    <t>威高广场7月份客流</t>
  </si>
  <si>
    <t>威高广场7月份市场收益</t>
  </si>
  <si>
    <t>月度销售累计           A=A2</t>
  </si>
  <si>
    <t>/</t>
  </si>
  <si>
    <t>变动费用</t>
  </si>
  <si>
    <t>变动费用合计</t>
  </si>
  <si>
    <t>B=B1+B2+......</t>
  </si>
  <si>
    <t>边界利益</t>
  </si>
  <si>
    <t>C=A-B</t>
  </si>
  <si>
    <t>固定费用</t>
  </si>
  <si>
    <t>活动宣传费</t>
  </si>
  <si>
    <t>D2</t>
  </si>
  <si>
    <t>会员营销费</t>
  </si>
  <si>
    <t>D3</t>
  </si>
  <si>
    <t>新媒体营销</t>
  </si>
  <si>
    <t>D4</t>
  </si>
  <si>
    <t>品牌扶持</t>
  </si>
  <si>
    <t>D5</t>
  </si>
  <si>
    <t>广告制作费</t>
  </si>
  <si>
    <t>D6</t>
  </si>
  <si>
    <t>差旅费</t>
  </si>
  <si>
    <t>D7</t>
  </si>
  <si>
    <t>培训费</t>
  </si>
  <si>
    <t>D8</t>
  </si>
  <si>
    <t>交通费</t>
  </si>
  <si>
    <t>D9</t>
  </si>
  <si>
    <t>通讯费</t>
  </si>
  <si>
    <t>D10</t>
  </si>
  <si>
    <t>办公室</t>
  </si>
  <si>
    <t>D11</t>
  </si>
  <si>
    <t>团建费</t>
  </si>
  <si>
    <t>D12</t>
  </si>
  <si>
    <t>折旧费</t>
  </si>
  <si>
    <t>D13</t>
  </si>
  <si>
    <t>固定费用合计</t>
  </si>
  <si>
    <t>D=D1+D2+......</t>
  </si>
  <si>
    <t>日均固定费用</t>
  </si>
  <si>
    <t>附加价值</t>
  </si>
  <si>
    <t>E=C-D</t>
  </si>
  <si>
    <t>劳务费用</t>
  </si>
  <si>
    <t>劳务费</t>
  </si>
  <si>
    <t>F1</t>
  </si>
  <si>
    <t>劳务费用合计</t>
  </si>
  <si>
    <t>F=F1+F2+......</t>
  </si>
  <si>
    <t>单位时间劳务费用</t>
  </si>
  <si>
    <t>总成本</t>
  </si>
  <si>
    <t>G=E+F</t>
  </si>
  <si>
    <t>经营利益</t>
  </si>
  <si>
    <t>H=A-G</t>
  </si>
  <si>
    <t>平均总投入人员（个）</t>
  </si>
  <si>
    <t>正常人员</t>
  </si>
  <si>
    <t>I1</t>
  </si>
  <si>
    <t>增援人员</t>
  </si>
  <si>
    <t>I2</t>
  </si>
  <si>
    <t>总人员合计</t>
  </si>
  <si>
    <t>I=I1+I2</t>
  </si>
  <si>
    <t>总时间（小时）</t>
  </si>
  <si>
    <t>正常时间</t>
  </si>
  <si>
    <t>J1</t>
  </si>
  <si>
    <t>加班时间</t>
  </si>
  <si>
    <t>J2</t>
  </si>
  <si>
    <t>总时间合计</t>
  </si>
  <si>
    <t>J=J1+J2+J3</t>
  </si>
  <si>
    <t>单位时间销售额（元/小时）</t>
  </si>
  <si>
    <r>
      <rPr>
        <sz val="10"/>
        <rFont val="微软雅黑"/>
        <charset val="134"/>
      </rPr>
      <t>K=A</t>
    </r>
    <r>
      <rPr>
        <sz val="10"/>
        <rFont val="Microsoft YaHei"/>
        <charset val="134"/>
      </rPr>
      <t>÷</t>
    </r>
    <r>
      <rPr>
        <sz val="10"/>
        <rFont val="微软雅黑"/>
        <charset val="134"/>
      </rPr>
      <t>J</t>
    </r>
  </si>
  <si>
    <t>单位时间附加价值（元/小时）</t>
  </si>
  <si>
    <r>
      <rPr>
        <sz val="10"/>
        <rFont val="微软雅黑"/>
        <charset val="134"/>
      </rPr>
      <t xml:space="preserve"> L=E</t>
    </r>
    <r>
      <rPr>
        <sz val="10"/>
        <rFont val="Microsoft YaHei"/>
        <charset val="134"/>
      </rPr>
      <t>÷</t>
    </r>
    <r>
      <rPr>
        <sz val="10"/>
        <rFont val="微软雅黑"/>
        <charset val="134"/>
      </rPr>
      <t>J</t>
    </r>
  </si>
  <si>
    <t xml:space="preserve">      </t>
  </si>
  <si>
    <t>盈亏平衡销售额</t>
  </si>
  <si>
    <t>盈亏平衡安全度</t>
  </si>
  <si>
    <t>盈亏平衡时间点</t>
  </si>
  <si>
    <t xml:space="preserve"> 威高商管   单位时间核算表 2025年8月份</t>
  </si>
  <si>
    <t>威高广场8月份客流</t>
  </si>
  <si>
    <t>威高广场8月份市场收益</t>
  </si>
  <si>
    <t xml:space="preserve"> 威高商管   单位时间核算表 2025年9月份</t>
  </si>
  <si>
    <t xml:space="preserve"> 威高商管   单位时间核算表2025年10月份</t>
  </si>
  <si>
    <t>（1）预算业绩</t>
  </si>
  <si>
    <t>（2）预定业绩</t>
  </si>
  <si>
    <t>（3）实际业绩</t>
  </si>
  <si>
    <t>预算数值</t>
  </si>
  <si>
    <t>车展位收益（外部）</t>
  </si>
  <si>
    <t>A1</t>
  </si>
  <si>
    <t>广告位收益（内部）</t>
  </si>
  <si>
    <t>A2</t>
  </si>
  <si>
    <t>制作费收入（内部）</t>
  </si>
  <si>
    <t>A3</t>
  </si>
  <si>
    <r>
      <rPr>
        <b/>
        <sz val="16"/>
        <color rgb="FFFF0000"/>
        <rFont val="微软雅黑"/>
        <charset val="134"/>
      </rPr>
      <t xml:space="preserve">市场收益总计     </t>
    </r>
    <r>
      <rPr>
        <sz val="10"/>
        <color rgb="FFFF0000"/>
        <rFont val="微软雅黑"/>
        <charset val="134"/>
      </rPr>
      <t xml:space="preserve">     A=A1+A2+A3</t>
    </r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</si>
  <si>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</si>
  <si>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</si>
  <si>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</si>
  <si>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</si>
  <si>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</si>
  <si>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</si>
  <si>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</si>
  <si>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</si>
  <si>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</si>
  <si>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</si>
  <si>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</si>
  <si>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</si>
  <si>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C=C1+C2</t>
  </si>
  <si>
    <t>D1</t>
  </si>
  <si>
    <t>D=D1+D2+D3</t>
  </si>
  <si>
    <t>部门指标</t>
  </si>
  <si>
    <t>客流（月度）</t>
  </si>
  <si>
    <t>E1</t>
  </si>
  <si>
    <t>抖音流量</t>
  </si>
  <si>
    <t>E2</t>
  </si>
  <si>
    <t>小红书流量</t>
  </si>
  <si>
    <t>E3</t>
  </si>
  <si>
    <t>视频号流量</t>
  </si>
  <si>
    <t>E4</t>
  </si>
  <si>
    <t>月度营销话题流量</t>
  </si>
  <si>
    <t>E5</t>
  </si>
  <si>
    <t>新媒体矩阵浏览流量汇总</t>
  </si>
  <si>
    <t>E6=E2+E3+E4+E5</t>
  </si>
  <si>
    <t>会员消费</t>
  </si>
  <si>
    <t>E7</t>
  </si>
  <si>
    <t>事项</t>
  </si>
  <si>
    <t>年度预算</t>
  </si>
  <si>
    <t>月度预定</t>
  </si>
  <si>
    <t>月度实绩</t>
  </si>
  <si>
    <t>销售额 占比</t>
  </si>
  <si>
    <t>预实差</t>
  </si>
  <si>
    <t>（实绩达成） 预定比率</t>
  </si>
  <si>
    <t>月度MP比</t>
  </si>
  <si>
    <t>收入部分</t>
  </si>
  <si>
    <t>外部收入</t>
  </si>
  <si>
    <t>内部收入</t>
  </si>
  <si>
    <t>制作费收入</t>
  </si>
  <si>
    <t>总销售金额</t>
  </si>
  <si>
    <t>费用部分</t>
  </si>
  <si>
    <t>活动费用</t>
  </si>
  <si>
    <t>会员费用</t>
  </si>
  <si>
    <t>扶持费用</t>
  </si>
  <si>
    <t>新媒体费用</t>
  </si>
  <si>
    <t>制作费用</t>
  </si>
  <si>
    <t>总费用合计</t>
  </si>
  <si>
    <t>(不包含人工费)</t>
  </si>
  <si>
    <t xml:space="preserve"> 威高商管   单位时间核算表2025年11月份</t>
  </si>
  <si>
    <t xml:space="preserve"> 威高商管   单位时间核算表2025年12月份</t>
  </si>
  <si>
    <t>年平账</t>
  </si>
  <si>
    <t>实际收益</t>
  </si>
  <si>
    <t>平账</t>
  </si>
  <si>
    <t xml:space="preserve"> 威高商管   单位时间核算表2025年1-12月份</t>
  </si>
  <si>
    <t>预实差说明</t>
  </si>
  <si>
    <t>%</t>
  </si>
  <si>
    <t>西门1号和2号位置年度合同，前期已缴纳；5号位置汽车之家11月份付款（2万）；中庭北（东风汽车）的展位延迟到11月3日进场（2万）</t>
  </si>
  <si>
    <t>原定本月海底捞44000元延迟打款</t>
  </si>
  <si>
    <t>无</t>
  </si>
  <si>
    <t>90,000 </t>
  </si>
  <si>
    <t>80,000 </t>
  </si>
  <si>
    <t>优化会员日形式，将费用投入到品牌补贴及区域补贴</t>
  </si>
  <si>
    <t> 50,000 </t>
  </si>
  <si>
    <t>高尔夫会员答谢伴手礼券费用（2.4万）</t>
  </si>
  <si>
    <t>前期预算超值，目前在压缩费用同时保障活动效果</t>
  </si>
  <si>
    <t> 103,500 </t>
  </si>
  <si>
    <t> 100,000 </t>
  </si>
  <si>
    <t>国庆制作费超支（1万）；波司登&amp;百丽展卖（0.5万）；新增天空里美化（1万）；新增金猴通道广告灯箱（0.52万）</t>
  </si>
  <si>
    <t>570,000 </t>
  </si>
  <si>
    <t xml:space="preserve"> 威高商管   单位时间核算表2026年1月份</t>
  </si>
  <si>
    <t>场地+多经点位</t>
  </si>
  <si>
    <t>广告+大屏</t>
  </si>
  <si>
    <t xml:space="preserve"> </t>
  </si>
  <si>
    <t xml:space="preserve"> 威高商管   单位时间核算表2026年2月份</t>
  </si>
  <si>
    <t xml:space="preserve"> 威高商管   单位时间核算表2026年1-2月份</t>
  </si>
  <si>
    <t>活动宣传费377</t>
  </si>
  <si>
    <t>会员营销费84</t>
  </si>
  <si>
    <t>新媒体营销34</t>
  </si>
  <si>
    <t>品牌扶持55</t>
  </si>
  <si>
    <t>广告制作费163</t>
  </si>
  <si>
    <t xml:space="preserve"> 威高商管   单位时间核算表2026年3月份</t>
  </si>
  <si>
    <t>市场收益总计          A=A1+A2+A3</t>
  </si>
  <si>
    <t xml:space="preserve"> L=E÷J</t>
  </si>
  <si>
    <t xml:space="preserve"> 威高商管   单位时间核算表2026年1-3月份</t>
  </si>
  <si>
    <t xml:space="preserve"> 威高商管   单位时间核算表2026年4月份</t>
  </si>
  <si>
    <t xml:space="preserve"> 威高商管   单位时间核算表2026年1-12月份</t>
  </si>
  <si>
    <t>应收金额（万元）</t>
  </si>
  <si>
    <t>积分抵扣金额（万元）</t>
  </si>
  <si>
    <t>优惠金额（万元）</t>
  </si>
  <si>
    <t>实收金额（万元）</t>
  </si>
  <si>
    <t>停车场总金额（万元）</t>
  </si>
  <si>
    <t xml:space="preserve"> 威高商管   单位时间核算表 2025年1-9月份</t>
  </si>
  <si>
    <t>威高广场1-8月份客流</t>
  </si>
  <si>
    <t>威高广场1-8月份市场收益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</si>
</sst>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_);\(0.00\)"/>
    <numFmt numFmtId="179" formatCode="0.00_);[Red]\(0.00\)"/>
  </numFmts>
  <fonts count="43">
    <font>
      <sz val="11"/>
      <color theme="1"/>
      <name val="宋体"/>
      <charset val="134"/>
      <scheme val="minor"/>
    </font>
    <font>
      <b/>
      <sz val="16"/>
      <color rgb="FFFF6600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rgb="FF000000"/>
      <name val="微软雅黑"/>
      <charset val="134"/>
    </font>
    <font>
      <sz val="10"/>
      <name val="Arial"/>
      <charset val="134"/>
    </font>
    <font>
      <sz val="10"/>
      <color rgb="FF003366"/>
      <name val="微软雅黑"/>
      <charset val="134"/>
    </font>
    <font>
      <b/>
      <sz val="16"/>
      <color rgb="FFFF0000"/>
      <name val="微软雅黑"/>
      <charset val="134"/>
    </font>
    <font>
      <sz val="14"/>
      <color rgb="FFFF0000"/>
      <name val="微软雅黑"/>
      <charset val="134"/>
    </font>
    <font>
      <b/>
      <sz val="9"/>
      <color rgb="FFFFFFFF"/>
      <name val="微软雅黑"/>
      <charset val="134"/>
    </font>
    <font>
      <sz val="9"/>
      <color rgb="FF000000"/>
      <name val="微软雅黑"/>
      <charset val="134"/>
    </font>
    <font>
      <sz val="10"/>
      <color rgb="FFFF0000"/>
      <name val="微软雅黑"/>
      <charset val="134"/>
    </font>
    <font>
      <sz val="14"/>
      <color rgb="FFFF0000"/>
      <name val="Arial"/>
      <charset val="134"/>
    </font>
    <font>
      <b/>
      <sz val="10"/>
      <color rgb="FFFF0000"/>
      <name val="微软雅黑"/>
      <charset val="134"/>
    </font>
    <font>
      <sz val="10"/>
      <color rgb="FFFF0000"/>
      <name val="Arial"/>
      <charset val="134"/>
    </font>
    <font>
      <b/>
      <sz val="10"/>
      <color rgb="FFFF0000"/>
      <name val="Arial"/>
      <charset val="134"/>
    </font>
    <font>
      <b/>
      <sz val="10"/>
      <color rgb="FFFFFFFF"/>
      <name val="微软雅黑"/>
      <charset val="134"/>
    </font>
    <font>
      <b/>
      <sz val="16"/>
      <color rgb="FF000000"/>
      <name val="微软雅黑"/>
      <charset val="134"/>
    </font>
    <font>
      <b/>
      <sz val="14"/>
      <color rgb="FFFF0000"/>
      <name val="微软雅黑"/>
      <charset val="134"/>
    </font>
    <font>
      <b/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10"/>
      <name val="Microsoft YaHei"/>
      <charset val="134"/>
    </font>
    <font>
      <b/>
      <sz val="9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51170384838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5B9EF"/>
        <bgColor indexed="64"/>
      </patternFill>
    </fill>
    <fill>
      <patternFill patternType="solid">
        <fgColor rgb="FFD3E6F9"/>
        <bgColor indexed="64"/>
      </patternFill>
    </fill>
    <fill>
      <patternFill patternType="solid">
        <fgColor rgb="FFEAF3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3" borderId="1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4" borderId="17" applyNumberFormat="0" applyAlignment="0" applyProtection="0">
      <alignment vertical="center"/>
    </xf>
    <xf numFmtId="0" fontId="29" fillId="15" borderId="18" applyNumberFormat="0" applyAlignment="0" applyProtection="0">
      <alignment vertical="center"/>
    </xf>
    <xf numFmtId="0" fontId="30" fillId="15" borderId="17" applyNumberFormat="0" applyAlignment="0" applyProtection="0">
      <alignment vertical="center"/>
    </xf>
    <xf numFmtId="0" fontId="31" fillId="16" borderId="19" applyNumberFormat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9" fillId="0" borderId="0">
      <alignment vertical="center"/>
    </xf>
  </cellStyleXfs>
  <cellXfs count="100">
    <xf numFmtId="0" fontId="0" fillId="0" borderId="0" xfId="0">
      <alignment vertical="center"/>
    </xf>
    <xf numFmtId="0" fontId="1" fillId="2" borderId="1" xfId="49" applyNumberFormat="1" applyFont="1" applyFill="1" applyBorder="1" applyAlignment="1" applyProtection="1">
      <alignment horizontal="center" vertical="center" wrapText="1"/>
    </xf>
    <xf numFmtId="0" fontId="2" fillId="0" borderId="1" xfId="49" applyNumberFormat="1" applyFont="1" applyFill="1" applyBorder="1" applyAlignment="1" applyProtection="1">
      <alignment horizontal="center" vertical="center"/>
    </xf>
    <xf numFmtId="0" fontId="3" fillId="0" borderId="1" xfId="49" applyNumberFormat="1" applyFont="1" applyFill="1" applyBorder="1" applyAlignment="1" applyProtection="1">
      <alignment horizontal="center" vertical="center"/>
    </xf>
    <xf numFmtId="0" fontId="3" fillId="0" borderId="1" xfId="49" applyNumberFormat="1" applyFont="1" applyFill="1" applyBorder="1" applyAlignment="1" applyProtection="1"/>
    <xf numFmtId="0" fontId="4" fillId="0" borderId="1" xfId="0" applyFont="1" applyFill="1" applyBorder="1" applyAlignment="1">
      <alignment horizontal="center" vertical="center"/>
    </xf>
    <xf numFmtId="10" fontId="2" fillId="0" borderId="1" xfId="49" applyNumberFormat="1" applyFont="1" applyFill="1" applyBorder="1" applyAlignment="1" applyProtection="1">
      <alignment horizontal="center" vertical="center"/>
    </xf>
    <xf numFmtId="0" fontId="3" fillId="0" borderId="2" xfId="49" applyNumberFormat="1" applyFont="1" applyFill="1" applyBorder="1" applyAlignment="1" applyProtection="1">
      <alignment horizontal="center" vertical="center"/>
    </xf>
    <xf numFmtId="0" fontId="3" fillId="0" borderId="3" xfId="49" applyNumberFormat="1" applyFont="1" applyFill="1" applyBorder="1" applyAlignment="1" applyProtection="1">
      <alignment horizontal="center" vertical="center"/>
    </xf>
    <xf numFmtId="0" fontId="3" fillId="0" borderId="4" xfId="49" applyNumberFormat="1" applyFont="1" applyFill="1" applyBorder="1" applyAlignment="1" applyProtection="1">
      <alignment horizontal="center" vertical="center"/>
    </xf>
    <xf numFmtId="0" fontId="3" fillId="3" borderId="1" xfId="49" applyNumberFormat="1" applyFont="1" applyFill="1" applyBorder="1" applyAlignment="1" applyProtection="1">
      <alignment horizontal="center" vertical="center"/>
    </xf>
    <xf numFmtId="176" fontId="3" fillId="3" borderId="1" xfId="49" applyNumberFormat="1" applyFont="1" applyFill="1" applyBorder="1" applyAlignment="1" applyProtection="1">
      <alignment horizontal="center" vertical="center"/>
    </xf>
    <xf numFmtId="10" fontId="3" fillId="3" borderId="1" xfId="49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/>
    <xf numFmtId="176" fontId="3" fillId="0" borderId="1" xfId="49" applyNumberFormat="1" applyFont="1" applyFill="1" applyBorder="1" applyAlignment="1" applyProtection="1">
      <alignment horizontal="center" vertical="center"/>
    </xf>
    <xf numFmtId="10" fontId="3" fillId="0" borderId="1" xfId="49" applyNumberFormat="1" applyFont="1" applyFill="1" applyBorder="1" applyAlignment="1" applyProtection="1">
      <alignment horizontal="center" vertical="center"/>
    </xf>
    <xf numFmtId="0" fontId="6" fillId="0" borderId="1" xfId="49" applyNumberFormat="1" applyFont="1" applyFill="1" applyBorder="1" applyAlignment="1" applyProtection="1">
      <alignment horizontal="center" vertical="center"/>
    </xf>
    <xf numFmtId="0" fontId="3" fillId="3" borderId="1" xfId="49" applyNumberFormat="1" applyFont="1" applyFill="1" applyBorder="1" applyAlignment="1" applyProtection="1"/>
    <xf numFmtId="0" fontId="7" fillId="4" borderId="1" xfId="49" applyNumberFormat="1" applyFont="1" applyFill="1" applyBorder="1" applyAlignment="1" applyProtection="1">
      <alignment horizontal="center" vertical="center"/>
    </xf>
    <xf numFmtId="0" fontId="3" fillId="4" borderId="1" xfId="49" applyNumberFormat="1" applyFont="1" applyFill="1" applyBorder="1" applyAlignment="1" applyProtection="1">
      <alignment horizontal="center" vertical="center"/>
    </xf>
    <xf numFmtId="0" fontId="3" fillId="4" borderId="1" xfId="49" applyNumberFormat="1" applyFont="1" applyFill="1" applyBorder="1" applyAlignment="1" applyProtection="1"/>
    <xf numFmtId="176" fontId="3" fillId="4" borderId="1" xfId="49" applyNumberFormat="1" applyFont="1" applyFill="1" applyBorder="1" applyAlignment="1" applyProtection="1">
      <alignment horizontal="center" vertical="center"/>
    </xf>
    <xf numFmtId="0" fontId="3" fillId="4" borderId="1" xfId="49" applyFont="1" applyFill="1" applyBorder="1" applyAlignment="1">
      <alignment horizontal="center"/>
    </xf>
    <xf numFmtId="0" fontId="6" fillId="4" borderId="1" xfId="49" applyNumberFormat="1" applyFont="1" applyFill="1" applyBorder="1" applyAlignment="1" applyProtection="1">
      <alignment horizontal="center" vertical="center"/>
    </xf>
    <xf numFmtId="176" fontId="8" fillId="4" borderId="1" xfId="49" applyNumberFormat="1" applyFont="1" applyFill="1" applyBorder="1" applyAlignment="1" applyProtection="1">
      <alignment horizontal="center" vertical="center"/>
    </xf>
    <xf numFmtId="176" fontId="8" fillId="0" borderId="1" xfId="49" applyNumberFormat="1" applyFont="1" applyFill="1" applyBorder="1" applyAlignment="1" applyProtection="1">
      <alignment horizontal="center" vertical="center"/>
    </xf>
    <xf numFmtId="10" fontId="8" fillId="0" borderId="1" xfId="49" applyNumberFormat="1" applyFont="1" applyFill="1" applyBorder="1" applyAlignment="1" applyProtection="1">
      <alignment horizontal="center" vertical="center"/>
    </xf>
    <xf numFmtId="176" fontId="5" fillId="0" borderId="1" xfId="0" applyNumberFormat="1" applyFont="1" applyFill="1" applyBorder="1" applyAlignment="1" applyProtection="1">
      <alignment horizontal="center" vertical="center"/>
    </xf>
    <xf numFmtId="0" fontId="3" fillId="3" borderId="1" xfId="49" applyNumberFormat="1" applyFont="1" applyFill="1" applyBorder="1" applyAlignment="1" applyProtection="1">
      <alignment horizontal="center" vertical="center" wrapText="1"/>
    </xf>
    <xf numFmtId="0" fontId="3" fillId="3" borderId="1" xfId="49" applyNumberFormat="1" applyFont="1" applyFill="1" applyBorder="1" applyAlignment="1" applyProtection="1">
      <alignment horizontal="left" vertical="center"/>
    </xf>
    <xf numFmtId="177" fontId="3" fillId="0" borderId="1" xfId="49" applyNumberFormat="1" applyFont="1" applyFill="1" applyBorder="1" applyAlignment="1" applyProtection="1">
      <alignment horizontal="center" vertical="center"/>
    </xf>
    <xf numFmtId="178" fontId="3" fillId="0" borderId="1" xfId="49" applyNumberFormat="1" applyFont="1" applyFill="1" applyBorder="1" applyAlignment="1" applyProtection="1">
      <alignment horizontal="center" vertical="center"/>
    </xf>
    <xf numFmtId="178" fontId="3" fillId="3" borderId="1" xfId="49" applyNumberFormat="1" applyFont="1" applyFill="1" applyBorder="1" applyAlignment="1" applyProtection="1">
      <alignment horizontal="center" vertical="center"/>
    </xf>
    <xf numFmtId="0" fontId="9" fillId="5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2" fillId="0" borderId="2" xfId="49" applyNumberFormat="1" applyFont="1" applyFill="1" applyBorder="1" applyAlignment="1" applyProtection="1">
      <alignment horizontal="center" vertical="center"/>
    </xf>
    <xf numFmtId="0" fontId="2" fillId="0" borderId="4" xfId="49" applyNumberFormat="1" applyFont="1" applyFill="1" applyBorder="1" applyAlignment="1" applyProtection="1">
      <alignment horizontal="center" vertical="center"/>
    </xf>
    <xf numFmtId="0" fontId="2" fillId="0" borderId="3" xfId="49" applyNumberFormat="1" applyFont="1" applyFill="1" applyBorder="1" applyAlignment="1" applyProtection="1">
      <alignment horizontal="center" vertical="center"/>
    </xf>
    <xf numFmtId="0" fontId="3" fillId="0" borderId="1" xfId="49" applyNumberFormat="1" applyFont="1" applyFill="1" applyBorder="1" applyAlignment="1" applyProtection="1">
      <alignment horizontal="center"/>
    </xf>
    <xf numFmtId="176" fontId="3" fillId="0" borderId="1" xfId="49" applyNumberFormat="1" applyFont="1" applyFill="1" applyBorder="1" applyAlignment="1" applyProtection="1">
      <alignment horizontal="center" vertical="center" wrapText="1"/>
    </xf>
    <xf numFmtId="176" fontId="2" fillId="0" borderId="1" xfId="49" applyNumberFormat="1" applyFont="1" applyFill="1" applyBorder="1" applyAlignment="1" applyProtection="1">
      <alignment horizontal="center" vertical="center"/>
    </xf>
    <xf numFmtId="0" fontId="7" fillId="3" borderId="1" xfId="49" applyNumberFormat="1" applyFont="1" applyFill="1" applyBorder="1" applyAlignment="1" applyProtection="1">
      <alignment horizontal="center" vertical="center"/>
    </xf>
    <xf numFmtId="0" fontId="11" fillId="3" borderId="1" xfId="49" applyNumberFormat="1" applyFont="1" applyFill="1" applyBorder="1" applyAlignment="1" applyProtection="1">
      <alignment horizontal="center" vertical="center"/>
    </xf>
    <xf numFmtId="176" fontId="8" fillId="8" borderId="1" xfId="49" applyNumberFormat="1" applyFont="1" applyFill="1" applyBorder="1" applyAlignment="1" applyProtection="1">
      <alignment horizontal="center" vertical="center"/>
    </xf>
    <xf numFmtId="0" fontId="7" fillId="0" borderId="1" xfId="49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3" fillId="9" borderId="1" xfId="49" applyFont="1" applyFill="1" applyBorder="1" applyAlignment="1">
      <alignment horizontal="center"/>
    </xf>
    <xf numFmtId="0" fontId="3" fillId="9" borderId="1" xfId="49" applyNumberFormat="1" applyFont="1" applyFill="1" applyBorder="1" applyAlignment="1" applyProtection="1">
      <alignment horizontal="center" vertical="center"/>
    </xf>
    <xf numFmtId="0" fontId="7" fillId="8" borderId="1" xfId="49" applyNumberFormat="1" applyFont="1" applyFill="1" applyBorder="1" applyAlignment="1" applyProtection="1">
      <alignment horizontal="center" vertical="center"/>
    </xf>
    <xf numFmtId="0" fontId="3" fillId="8" borderId="1" xfId="49" applyNumberFormat="1" applyFont="1" applyFill="1" applyBorder="1" applyAlignment="1" applyProtection="1"/>
    <xf numFmtId="0" fontId="12" fillId="8" borderId="1" xfId="0" applyNumberFormat="1" applyFont="1" applyFill="1" applyBorder="1" applyAlignment="1" applyProtection="1">
      <alignment horizontal="center" vertical="center"/>
    </xf>
    <xf numFmtId="10" fontId="8" fillId="8" borderId="1" xfId="49" applyNumberFormat="1" applyFont="1" applyFill="1" applyBorder="1" applyAlignment="1" applyProtection="1">
      <alignment horizontal="center" vertical="center"/>
    </xf>
    <xf numFmtId="0" fontId="3" fillId="0" borderId="6" xfId="49" applyNumberFormat="1" applyFont="1" applyFill="1" applyBorder="1" applyAlignment="1" applyProtection="1">
      <alignment horizontal="center" vertical="center"/>
    </xf>
    <xf numFmtId="0" fontId="2" fillId="0" borderId="6" xfId="49" applyNumberFormat="1" applyFont="1" applyFill="1" applyBorder="1" applyAlignment="1" applyProtection="1">
      <alignment horizontal="center" vertical="center"/>
    </xf>
    <xf numFmtId="0" fontId="7" fillId="0" borderId="6" xfId="49" applyNumberFormat="1" applyFont="1" applyFill="1" applyBorder="1" applyAlignment="1" applyProtection="1">
      <alignment horizontal="center" vertical="center"/>
    </xf>
    <xf numFmtId="0" fontId="2" fillId="0" borderId="7" xfId="49" applyNumberFormat="1" applyFont="1" applyFill="1" applyBorder="1" applyAlignment="1" applyProtection="1">
      <alignment horizontal="center" vertical="center"/>
    </xf>
    <xf numFmtId="0" fontId="13" fillId="4" borderId="3" xfId="49" applyNumberFormat="1" applyFont="1" applyFill="1" applyBorder="1" applyAlignment="1" applyProtection="1">
      <alignment horizontal="center" vertical="center"/>
    </xf>
    <xf numFmtId="0" fontId="3" fillId="4" borderId="1" xfId="49" applyNumberFormat="1" applyFont="1" applyFill="1" applyBorder="1" applyAlignment="1" applyProtection="1">
      <alignment horizontal="center"/>
    </xf>
    <xf numFmtId="176" fontId="3" fillId="4" borderId="1" xfId="49" applyNumberFormat="1" applyFont="1" applyFill="1" applyBorder="1" applyAlignment="1" applyProtection="1">
      <alignment horizontal="center" vertical="center" wrapText="1"/>
    </xf>
    <xf numFmtId="0" fontId="2" fillId="4" borderId="1" xfId="49" applyNumberFormat="1" applyFont="1" applyFill="1" applyBorder="1" applyAlignment="1" applyProtection="1">
      <alignment horizontal="center" vertical="center"/>
    </xf>
    <xf numFmtId="176" fontId="2" fillId="4" borderId="1" xfId="49" applyNumberFormat="1" applyFont="1" applyFill="1" applyBorder="1" applyAlignment="1" applyProtection="1">
      <alignment horizontal="center" vertical="center"/>
    </xf>
    <xf numFmtId="10" fontId="2" fillId="4" borderId="1" xfId="49" applyNumberFormat="1" applyFont="1" applyFill="1" applyBorder="1" applyAlignment="1" applyProtection="1">
      <alignment horizontal="center" vertical="center"/>
    </xf>
    <xf numFmtId="0" fontId="6" fillId="0" borderId="4" xfId="49" applyNumberFormat="1" applyFont="1" applyFill="1" applyBorder="1" applyAlignment="1" applyProtection="1">
      <alignment horizontal="center" vertical="center"/>
    </xf>
    <xf numFmtId="0" fontId="13" fillId="4" borderId="1" xfId="49" applyNumberFormat="1" applyFont="1" applyFill="1" applyBorder="1" applyAlignment="1" applyProtection="1">
      <alignment horizontal="center" vertical="center"/>
    </xf>
    <xf numFmtId="176" fontId="5" fillId="4" borderId="1" xfId="0" applyNumberFormat="1" applyFont="1" applyFill="1" applyBorder="1" applyAlignment="1" applyProtection="1">
      <alignment horizontal="center" vertical="center"/>
    </xf>
    <xf numFmtId="10" fontId="3" fillId="4" borderId="1" xfId="49" applyNumberFormat="1" applyFont="1" applyFill="1" applyBorder="1" applyAlignment="1" applyProtection="1">
      <alignment horizontal="center" vertical="center"/>
    </xf>
    <xf numFmtId="179" fontId="3" fillId="4" borderId="1" xfId="49" applyNumberFormat="1" applyFont="1" applyFill="1" applyBorder="1" applyAlignment="1" applyProtection="1">
      <alignment horizontal="center" vertical="center"/>
    </xf>
    <xf numFmtId="176" fontId="14" fillId="4" borderId="1" xfId="0" applyNumberFormat="1" applyFont="1" applyFill="1" applyBorder="1" applyAlignment="1" applyProtection="1">
      <alignment horizontal="center" vertical="center"/>
    </xf>
    <xf numFmtId="176" fontId="15" fillId="4" borderId="1" xfId="0" applyNumberFormat="1" applyFont="1" applyFill="1" applyBorder="1" applyAlignment="1" applyProtection="1">
      <alignment horizontal="center" vertical="center"/>
    </xf>
    <xf numFmtId="0" fontId="6" fillId="0" borderId="8" xfId="49" applyNumberFormat="1" applyFont="1" applyFill="1" applyBorder="1" applyAlignment="1" applyProtection="1">
      <alignment horizontal="center" vertical="center"/>
    </xf>
    <xf numFmtId="0" fontId="6" fillId="0" borderId="9" xfId="49" applyNumberFormat="1" applyFont="1" applyFill="1" applyBorder="1" applyAlignment="1" applyProtection="1">
      <alignment horizontal="center" vertical="center"/>
    </xf>
    <xf numFmtId="0" fontId="6" fillId="0" borderId="10" xfId="49" applyNumberFormat="1" applyFont="1" applyFill="1" applyBorder="1" applyAlignment="1" applyProtection="1">
      <alignment horizontal="center" vertical="center"/>
    </xf>
    <xf numFmtId="0" fontId="0" fillId="10" borderId="5" xfId="0" applyFill="1" applyBorder="1">
      <alignment vertical="center"/>
    </xf>
    <xf numFmtId="0" fontId="16" fillId="10" borderId="5" xfId="0" applyFont="1" applyFill="1" applyBorder="1" applyAlignment="1">
      <alignment horizontal="center" vertical="center" wrapText="1"/>
    </xf>
    <xf numFmtId="0" fontId="17" fillId="11" borderId="5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10" fontId="4" fillId="11" borderId="5" xfId="0" applyNumberFormat="1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center" vertical="center" wrapText="1"/>
    </xf>
    <xf numFmtId="10" fontId="4" fillId="12" borderId="5" xfId="0" applyNumberFormat="1" applyFont="1" applyFill="1" applyBorder="1" applyAlignment="1">
      <alignment horizontal="center" vertical="center" wrapText="1"/>
    </xf>
    <xf numFmtId="3" fontId="18" fillId="12" borderId="5" xfId="0" applyNumberFormat="1" applyFont="1" applyFill="1" applyBorder="1" applyAlignment="1">
      <alignment horizontal="center" vertical="center" wrapText="1"/>
    </xf>
    <xf numFmtId="0" fontId="0" fillId="12" borderId="5" xfId="0" applyFill="1" applyBorder="1">
      <alignment vertical="center"/>
    </xf>
    <xf numFmtId="4" fontId="18" fillId="12" borderId="5" xfId="0" applyNumberFormat="1" applyFont="1" applyFill="1" applyBorder="1" applyAlignment="1">
      <alignment horizontal="center" vertical="center" wrapText="1"/>
    </xf>
    <xf numFmtId="10" fontId="18" fillId="12" borderId="5" xfId="0" applyNumberFormat="1" applyFont="1" applyFill="1" applyBorder="1" applyAlignment="1">
      <alignment horizontal="center" vertical="center" wrapText="1"/>
    </xf>
    <xf numFmtId="0" fontId="4" fillId="12" borderId="11" xfId="0" applyFont="1" applyFill="1" applyBorder="1" applyAlignment="1">
      <alignment horizontal="center" vertical="center" wrapText="1"/>
    </xf>
    <xf numFmtId="0" fontId="0" fillId="12" borderId="12" xfId="0" applyFill="1" applyBorder="1">
      <alignment vertical="center"/>
    </xf>
    <xf numFmtId="0" fontId="4" fillId="12" borderId="13" xfId="0" applyFont="1" applyFill="1" applyBorder="1" applyAlignment="1">
      <alignment horizontal="center" vertical="center" wrapText="1"/>
    </xf>
    <xf numFmtId="4" fontId="4" fillId="11" borderId="5" xfId="0" applyNumberFormat="1" applyFont="1" applyFill="1" applyBorder="1" applyAlignment="1">
      <alignment horizontal="center" vertical="center" wrapText="1"/>
    </xf>
    <xf numFmtId="3" fontId="4" fillId="11" borderId="5" xfId="0" applyNumberFormat="1" applyFont="1" applyFill="1" applyBorder="1" applyAlignment="1">
      <alignment horizontal="center" vertical="center" wrapText="1"/>
    </xf>
    <xf numFmtId="0" fontId="19" fillId="11" borderId="5" xfId="0" applyFont="1" applyFill="1" applyBorder="1" applyAlignment="1">
      <alignment horizontal="left" vertical="center" wrapText="1"/>
    </xf>
    <xf numFmtId="4" fontId="4" fillId="12" borderId="5" xfId="0" applyNumberFormat="1" applyFont="1" applyFill="1" applyBorder="1" applyAlignment="1">
      <alignment horizontal="center" vertical="center" wrapText="1"/>
    </xf>
    <xf numFmtId="3" fontId="4" fillId="12" borderId="5" xfId="0" applyNumberFormat="1" applyFont="1" applyFill="1" applyBorder="1" applyAlignment="1">
      <alignment horizontal="center" vertical="center" wrapText="1"/>
    </xf>
    <xf numFmtId="0" fontId="19" fillId="12" borderId="5" xfId="0" applyFont="1" applyFill="1" applyBorder="1" applyAlignment="1">
      <alignment horizontal="left" vertical="center" wrapText="1"/>
    </xf>
    <xf numFmtId="0" fontId="18" fillId="12" borderId="5" xfId="0" applyFont="1" applyFill="1" applyBorder="1" applyAlignment="1">
      <alignment horizontal="center" vertical="center" wrapText="1"/>
    </xf>
    <xf numFmtId="4" fontId="5" fillId="0" borderId="1" xfId="0" applyNumberFormat="1" applyFont="1" applyFill="1" applyBorder="1" applyAlignment="1" applyProtection="1">
      <alignment horizontal="center" vertical="center"/>
    </xf>
    <xf numFmtId="3" fontId="5" fillId="0" borderId="1" xfId="0" applyNumberFormat="1" applyFont="1" applyFill="1" applyBorder="1" applyAlignment="1" applyProtection="1">
      <alignment horizontal="center" vertical="center"/>
    </xf>
    <xf numFmtId="0" fontId="3" fillId="0" borderId="2" xfId="49" applyNumberFormat="1" applyFont="1" applyFill="1" applyBorder="1" applyAlignment="1" applyProtection="1">
      <alignment horizontal="center" vertical="center" wrapText="1"/>
    </xf>
    <xf numFmtId="0" fontId="3" fillId="0" borderId="3" xfId="49" applyNumberFormat="1" applyFont="1" applyFill="1" applyBorder="1" applyAlignment="1" applyProtection="1">
      <alignment horizontal="center" vertical="center" wrapText="1"/>
    </xf>
    <xf numFmtId="0" fontId="3" fillId="0" borderId="4" xfId="49" applyNumberFormat="1" applyFont="1" applyFill="1" applyBorder="1" applyAlignment="1" applyProtection="1">
      <alignment horizontal="center" vertical="center" wrapText="1"/>
    </xf>
    <xf numFmtId="0" fontId="12" fillId="0" borderId="1" xfId="0" applyNumberFormat="1" applyFont="1" applyFill="1" applyBorder="1" applyAlignment="1" applyProtection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3月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selection activeCell="O33" sqref="O33"/>
    </sheetView>
  </sheetViews>
  <sheetFormatPr defaultColWidth="9" defaultRowHeight="13.5"/>
  <cols>
    <col min="5" max="10" width="16.375" customWidth="1"/>
  </cols>
  <sheetData>
    <row r="1" ht="22.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6.5" spans="1:10">
      <c r="A2" s="2" t="s">
        <v>1</v>
      </c>
      <c r="B2" s="2"/>
      <c r="C2" s="2"/>
      <c r="D2" s="2" t="s">
        <v>2</v>
      </c>
      <c r="E2" s="2" t="s">
        <v>3</v>
      </c>
      <c r="F2" s="2"/>
      <c r="G2" s="2"/>
      <c r="H2" s="2"/>
      <c r="I2" s="2"/>
      <c r="J2" s="2"/>
    </row>
    <row r="3" ht="16.5" spans="1:10">
      <c r="A3" s="2"/>
      <c r="B3" s="2"/>
      <c r="C3" s="2"/>
      <c r="D3" s="2"/>
      <c r="E3" s="2" t="s">
        <v>4</v>
      </c>
      <c r="F3" s="2"/>
      <c r="G3" s="2" t="s">
        <v>5</v>
      </c>
      <c r="H3" s="2"/>
      <c r="I3" s="2" t="s">
        <v>6</v>
      </c>
      <c r="J3" s="2"/>
    </row>
    <row r="4" ht="16.5" spans="1:10">
      <c r="A4" s="2"/>
      <c r="B4" s="2"/>
      <c r="C4" s="2"/>
      <c r="D4" s="2"/>
      <c r="E4" s="2" t="s">
        <v>7</v>
      </c>
      <c r="F4" s="2" t="s">
        <v>8</v>
      </c>
      <c r="G4" s="2" t="s">
        <v>9</v>
      </c>
      <c r="H4" s="2" t="s">
        <v>8</v>
      </c>
      <c r="I4" s="2" t="s">
        <v>10</v>
      </c>
      <c r="J4" s="2" t="s">
        <v>11</v>
      </c>
    </row>
    <row r="5" ht="16.5" spans="1:10">
      <c r="A5" s="3" t="s">
        <v>12</v>
      </c>
      <c r="B5" s="3"/>
      <c r="C5" s="3"/>
      <c r="D5" s="4"/>
      <c r="E5" s="40">
        <v>2700000</v>
      </c>
      <c r="F5" s="2"/>
      <c r="G5" s="41">
        <v>2317806</v>
      </c>
      <c r="H5" s="2"/>
      <c r="I5" s="2">
        <f>G5-E5</f>
        <v>-382194</v>
      </c>
      <c r="J5" s="6">
        <f>I5/E5</f>
        <v>-0.141553333333333</v>
      </c>
    </row>
    <row r="6" ht="16.5" spans="1:10">
      <c r="A6" s="96" t="s">
        <v>13</v>
      </c>
      <c r="B6" s="97"/>
      <c r="C6" s="98"/>
      <c r="D6" s="4"/>
      <c r="E6" s="14">
        <v>-150000</v>
      </c>
      <c r="F6" s="15"/>
      <c r="G6" s="14">
        <v>-154200</v>
      </c>
      <c r="H6" s="15"/>
      <c r="I6" s="14">
        <f>G6-E6</f>
        <v>-4200</v>
      </c>
      <c r="J6" s="15">
        <f>I6/E6</f>
        <v>0.028</v>
      </c>
    </row>
    <row r="7" ht="16.5" spans="1:10">
      <c r="A7" s="10" t="s">
        <v>14</v>
      </c>
      <c r="B7" s="10"/>
      <c r="C7" s="10"/>
      <c r="D7" s="10"/>
      <c r="E7" s="10"/>
      <c r="F7" s="12" t="s">
        <v>15</v>
      </c>
      <c r="G7" s="10"/>
      <c r="H7" s="12"/>
      <c r="I7" s="11"/>
      <c r="J7" s="12"/>
    </row>
    <row r="8" ht="16.5" spans="1:10">
      <c r="A8" s="3" t="s">
        <v>16</v>
      </c>
      <c r="B8" s="3"/>
      <c r="C8" s="13"/>
      <c r="D8" s="13"/>
      <c r="E8" s="13"/>
      <c r="F8" s="15"/>
      <c r="G8" s="14"/>
      <c r="H8" s="15"/>
      <c r="I8" s="14"/>
      <c r="J8" s="15"/>
    </row>
    <row r="9" ht="16.5" spans="1:10">
      <c r="A9" s="16" t="s">
        <v>17</v>
      </c>
      <c r="B9" s="16"/>
      <c r="C9" s="16"/>
      <c r="D9" s="4" t="s">
        <v>18</v>
      </c>
      <c r="E9" s="14"/>
      <c r="F9" s="14"/>
      <c r="G9" s="14">
        <f ca="1">SUM(G8:I72)</f>
        <v>0</v>
      </c>
      <c r="H9" s="14">
        <f>SUM(H8:H8)</f>
        <v>0</v>
      </c>
      <c r="I9" s="14">
        <f>SUM(I8:I8)</f>
        <v>0</v>
      </c>
      <c r="J9" s="15"/>
    </row>
    <row r="10" ht="16.5" spans="1:10">
      <c r="A10" s="10" t="s">
        <v>19</v>
      </c>
      <c r="B10" s="10"/>
      <c r="C10" s="10"/>
      <c r="D10" s="17" t="s">
        <v>20</v>
      </c>
      <c r="E10" s="11"/>
      <c r="F10" s="12"/>
      <c r="G10" s="11"/>
      <c r="H10" s="12"/>
      <c r="I10" s="11"/>
      <c r="J10" s="12"/>
    </row>
    <row r="11" ht="16.5" spans="1:10">
      <c r="A11" s="45" t="s">
        <v>21</v>
      </c>
      <c r="B11" s="45"/>
      <c r="C11" s="3" t="s">
        <v>22</v>
      </c>
      <c r="D11" s="4" t="s">
        <v>23</v>
      </c>
      <c r="E11" s="14">
        <v>225000</v>
      </c>
      <c r="F11" s="15"/>
      <c r="G11" s="14">
        <v>295900</v>
      </c>
      <c r="H11" s="15"/>
      <c r="I11" s="14">
        <f t="shared" ref="I11:I17" si="0">G11-E11</f>
        <v>70900</v>
      </c>
      <c r="J11" s="15">
        <f t="shared" ref="J11:J24" si="1">I11/E11</f>
        <v>0.315111111111111</v>
      </c>
    </row>
    <row r="12" ht="16.5" spans="1:10">
      <c r="A12" s="45"/>
      <c r="B12" s="45"/>
      <c r="C12" s="3" t="s">
        <v>24</v>
      </c>
      <c r="D12" s="4" t="s">
        <v>25</v>
      </c>
      <c r="E12" s="14">
        <v>75000</v>
      </c>
      <c r="F12" s="15"/>
      <c r="G12" s="14">
        <v>26600</v>
      </c>
      <c r="H12" s="15"/>
      <c r="I12" s="14">
        <f t="shared" si="0"/>
        <v>-48400</v>
      </c>
      <c r="J12" s="15">
        <f t="shared" si="1"/>
        <v>-0.645333333333333</v>
      </c>
    </row>
    <row r="13" ht="16.5" spans="1:10">
      <c r="A13" s="45"/>
      <c r="B13" s="45"/>
      <c r="C13" s="3" t="s">
        <v>26</v>
      </c>
      <c r="D13" s="4" t="s">
        <v>27</v>
      </c>
      <c r="E13" s="14">
        <v>40000</v>
      </c>
      <c r="F13" s="15"/>
      <c r="G13" s="14">
        <v>34200</v>
      </c>
      <c r="H13" s="15"/>
      <c r="I13" s="14"/>
      <c r="J13" s="15"/>
    </row>
    <row r="14" ht="16.5" spans="1:10">
      <c r="A14" s="45"/>
      <c r="B14" s="45"/>
      <c r="C14" s="3" t="s">
        <v>28</v>
      </c>
      <c r="D14" s="4" t="s">
        <v>29</v>
      </c>
      <c r="E14" s="14">
        <v>65000</v>
      </c>
      <c r="F14" s="15"/>
      <c r="G14" s="14">
        <v>8600</v>
      </c>
      <c r="H14" s="15"/>
      <c r="I14" s="14">
        <f t="shared" si="0"/>
        <v>-56400</v>
      </c>
      <c r="J14" s="15">
        <f t="shared" si="1"/>
        <v>-0.867692307692308</v>
      </c>
    </row>
    <row r="15" ht="16.5" spans="1:10">
      <c r="A15" s="45"/>
      <c r="B15" s="45"/>
      <c r="C15" s="3" t="s">
        <v>30</v>
      </c>
      <c r="D15" s="4" t="s">
        <v>31</v>
      </c>
      <c r="E15" s="14">
        <v>229500</v>
      </c>
      <c r="F15" s="15"/>
      <c r="G15" s="14">
        <v>408300</v>
      </c>
      <c r="H15" s="15"/>
      <c r="I15" s="14">
        <f t="shared" si="0"/>
        <v>178800</v>
      </c>
      <c r="J15" s="15">
        <f t="shared" si="1"/>
        <v>0.779084967320261</v>
      </c>
    </row>
    <row r="16" ht="16.5" spans="1:10">
      <c r="A16" s="45"/>
      <c r="B16" s="45"/>
      <c r="C16" s="3" t="s">
        <v>32</v>
      </c>
      <c r="D16" s="4" t="s">
        <v>33</v>
      </c>
      <c r="E16" s="14">
        <v>0</v>
      </c>
      <c r="F16" s="15"/>
      <c r="G16" s="14">
        <v>0</v>
      </c>
      <c r="H16" s="15"/>
      <c r="I16" s="14">
        <f t="shared" si="0"/>
        <v>0</v>
      </c>
      <c r="J16" s="15" t="e">
        <f t="shared" si="1"/>
        <v>#DIV/0!</v>
      </c>
    </row>
    <row r="17" ht="16.5" spans="1:10">
      <c r="A17" s="45"/>
      <c r="B17" s="45"/>
      <c r="C17" s="3" t="s">
        <v>34</v>
      </c>
      <c r="D17" s="4" t="s">
        <v>35</v>
      </c>
      <c r="E17" s="14">
        <v>0</v>
      </c>
      <c r="F17" s="15"/>
      <c r="G17" s="14">
        <v>0</v>
      </c>
      <c r="H17" s="15"/>
      <c r="I17" s="14">
        <f t="shared" si="0"/>
        <v>0</v>
      </c>
      <c r="J17" s="15" t="e">
        <f t="shared" si="1"/>
        <v>#DIV/0!</v>
      </c>
    </row>
    <row r="18" ht="16.5" spans="1:10">
      <c r="A18" s="45"/>
      <c r="B18" s="45"/>
      <c r="C18" s="48" t="s">
        <v>36</v>
      </c>
      <c r="D18" s="4" t="s">
        <v>37</v>
      </c>
      <c r="E18" s="14">
        <v>0</v>
      </c>
      <c r="F18" s="14"/>
      <c r="G18" s="14">
        <v>0</v>
      </c>
      <c r="H18" s="15"/>
      <c r="I18" s="14" t="e">
        <f>#REF!-E18</f>
        <v>#REF!</v>
      </c>
      <c r="J18" s="15" t="e">
        <f t="shared" si="1"/>
        <v>#REF!</v>
      </c>
    </row>
    <row r="19" ht="16.5" spans="1:10">
      <c r="A19" s="45"/>
      <c r="B19" s="45"/>
      <c r="C19" s="47" t="s">
        <v>38</v>
      </c>
      <c r="D19" s="4" t="s">
        <v>39</v>
      </c>
      <c r="E19" s="14">
        <v>0</v>
      </c>
      <c r="F19" s="14"/>
      <c r="G19" s="14">
        <v>0</v>
      </c>
      <c r="H19" s="15"/>
      <c r="I19" s="14">
        <f>G18-E19</f>
        <v>0</v>
      </c>
      <c r="J19" s="15" t="e">
        <f t="shared" si="1"/>
        <v>#DIV/0!</v>
      </c>
    </row>
    <row r="20" ht="16.5" spans="1:10">
      <c r="A20" s="45"/>
      <c r="B20" s="45"/>
      <c r="C20" s="47" t="s">
        <v>40</v>
      </c>
      <c r="D20" s="4" t="s">
        <v>41</v>
      </c>
      <c r="E20" s="14">
        <v>500</v>
      </c>
      <c r="F20" s="14"/>
      <c r="G20" s="14">
        <v>500</v>
      </c>
      <c r="H20" s="15"/>
      <c r="I20" s="14">
        <f t="shared" ref="I20:I22" si="2">G20-E20</f>
        <v>0</v>
      </c>
      <c r="J20" s="15">
        <f t="shared" si="1"/>
        <v>0</v>
      </c>
    </row>
    <row r="21" ht="16.5" spans="1:10">
      <c r="A21" s="45"/>
      <c r="B21" s="45"/>
      <c r="C21" s="48" t="s">
        <v>42</v>
      </c>
      <c r="D21" s="4" t="s">
        <v>43</v>
      </c>
      <c r="E21" s="14">
        <v>0</v>
      </c>
      <c r="F21" s="14"/>
      <c r="G21" s="14">
        <v>1300</v>
      </c>
      <c r="H21" s="15"/>
      <c r="I21" s="14">
        <f t="shared" si="2"/>
        <v>1300</v>
      </c>
      <c r="J21" s="15" t="e">
        <f t="shared" si="1"/>
        <v>#DIV/0!</v>
      </c>
    </row>
    <row r="22" ht="16.5" spans="1:10">
      <c r="A22" s="45"/>
      <c r="B22" s="45"/>
      <c r="C22" s="48" t="s">
        <v>44</v>
      </c>
      <c r="D22" s="4" t="s">
        <v>45</v>
      </c>
      <c r="E22" s="14">
        <v>482.5</v>
      </c>
      <c r="F22" s="14"/>
      <c r="G22" s="14">
        <v>482.5</v>
      </c>
      <c r="H22" s="15"/>
      <c r="I22" s="14">
        <f t="shared" si="2"/>
        <v>0</v>
      </c>
      <c r="J22" s="15">
        <f t="shared" si="1"/>
        <v>0</v>
      </c>
    </row>
    <row r="23" ht="20.25" spans="1:10">
      <c r="A23" s="16" t="s">
        <v>46</v>
      </c>
      <c r="B23" s="16"/>
      <c r="C23" s="16"/>
      <c r="D23" s="4" t="s">
        <v>47</v>
      </c>
      <c r="E23" s="25">
        <f>SUM(E11:E22)</f>
        <v>635482.5</v>
      </c>
      <c r="F23" s="25"/>
      <c r="G23" s="99">
        <f>SUM(G11:G22)</f>
        <v>775882.5</v>
      </c>
      <c r="H23" s="26"/>
      <c r="I23" s="25">
        <f t="shared" ref="I20:I24" si="3">G23-E23</f>
        <v>140400</v>
      </c>
      <c r="J23" s="26">
        <f t="shared" si="1"/>
        <v>0.220934486787598</v>
      </c>
    </row>
    <row r="24" ht="16.5" spans="1:10">
      <c r="A24" s="16" t="s">
        <v>48</v>
      </c>
      <c r="B24" s="16"/>
      <c r="C24" s="16"/>
      <c r="D24" s="4"/>
      <c r="E24" s="14">
        <f>E23/31</f>
        <v>20499.435483871</v>
      </c>
      <c r="F24" s="14"/>
      <c r="G24" s="27">
        <f>G23/31</f>
        <v>25028.4677419355</v>
      </c>
      <c r="H24" s="15"/>
      <c r="I24" s="14">
        <f t="shared" si="3"/>
        <v>4529.03225806452</v>
      </c>
      <c r="J24" s="15">
        <f t="shared" si="1"/>
        <v>0.220934486787599</v>
      </c>
    </row>
    <row r="25" ht="16.5" spans="1:10">
      <c r="A25" s="10" t="s">
        <v>49</v>
      </c>
      <c r="B25" s="10"/>
      <c r="C25" s="10"/>
      <c r="D25" s="17" t="s">
        <v>50</v>
      </c>
      <c r="E25" s="11"/>
      <c r="F25" s="12"/>
      <c r="G25" s="11"/>
      <c r="H25" s="12"/>
      <c r="I25" s="11"/>
      <c r="J25" s="12"/>
    </row>
    <row r="26" ht="16.5" spans="1:10">
      <c r="A26" s="3" t="s">
        <v>51</v>
      </c>
      <c r="B26" s="3"/>
      <c r="C26" s="3" t="s">
        <v>52</v>
      </c>
      <c r="D26" s="4" t="s">
        <v>53</v>
      </c>
      <c r="E26" s="3">
        <v>113833.6</v>
      </c>
      <c r="F26" s="15"/>
      <c r="G26" s="3">
        <v>92712.1</v>
      </c>
      <c r="H26" s="15"/>
      <c r="I26" s="14"/>
      <c r="J26" s="15"/>
    </row>
    <row r="27" ht="16.5" spans="1:10">
      <c r="A27" s="3" t="s">
        <v>54</v>
      </c>
      <c r="B27" s="3"/>
      <c r="C27" s="3"/>
      <c r="D27" s="4" t="s">
        <v>55</v>
      </c>
      <c r="E27" s="3">
        <v>113833.6</v>
      </c>
      <c r="F27" s="15"/>
      <c r="G27" s="3">
        <v>92712.1</v>
      </c>
      <c r="H27" s="15"/>
      <c r="I27" s="14"/>
      <c r="J27" s="15"/>
    </row>
    <row r="28" ht="16.5" spans="1:10">
      <c r="A28" s="3" t="s">
        <v>56</v>
      </c>
      <c r="B28" s="3"/>
      <c r="C28" s="3"/>
      <c r="D28" s="4"/>
      <c r="E28" s="14" t="e">
        <f>E27/E36</f>
        <v>#DIV/0!</v>
      </c>
      <c r="F28" s="14"/>
      <c r="G28" s="14" t="e">
        <f>G27/G36</f>
        <v>#DIV/0!</v>
      </c>
      <c r="H28" s="15"/>
      <c r="I28" s="14"/>
      <c r="J28" s="15"/>
    </row>
    <row r="29" ht="16.5" spans="1:10">
      <c r="A29" s="3" t="s">
        <v>57</v>
      </c>
      <c r="B29" s="3"/>
      <c r="C29" s="3"/>
      <c r="D29" s="4" t="s">
        <v>58</v>
      </c>
      <c r="E29" s="14"/>
      <c r="F29" s="15"/>
      <c r="G29" s="14"/>
      <c r="H29" s="15"/>
      <c r="I29" s="14"/>
      <c r="J29" s="15"/>
    </row>
    <row r="30" ht="16.5" spans="1:10">
      <c r="A30" s="28" t="s">
        <v>59</v>
      </c>
      <c r="B30" s="28"/>
      <c r="C30" s="28"/>
      <c r="D30" s="29" t="s">
        <v>60</v>
      </c>
      <c r="E30" s="11"/>
      <c r="F30" s="12"/>
      <c r="G30" s="11"/>
      <c r="H30" s="12"/>
      <c r="I30" s="11"/>
      <c r="J30" s="12"/>
    </row>
    <row r="31" ht="16.5" spans="1:10">
      <c r="A31" s="3" t="s">
        <v>61</v>
      </c>
      <c r="B31" s="3"/>
      <c r="C31" s="3" t="s">
        <v>62</v>
      </c>
      <c r="D31" s="4" t="s">
        <v>63</v>
      </c>
      <c r="E31" s="3">
        <v>13</v>
      </c>
      <c r="F31" s="3"/>
      <c r="G31" s="3">
        <v>13</v>
      </c>
      <c r="H31" s="3"/>
      <c r="I31" s="14"/>
      <c r="J31" s="14"/>
    </row>
    <row r="32" ht="16.5" spans="1:10">
      <c r="A32" s="3"/>
      <c r="B32" s="3"/>
      <c r="C32" s="3" t="s">
        <v>64</v>
      </c>
      <c r="D32" s="4" t="s">
        <v>65</v>
      </c>
      <c r="E32" s="3">
        <v>0</v>
      </c>
      <c r="F32" s="3"/>
      <c r="G32" s="3">
        <v>0</v>
      </c>
      <c r="H32" s="3"/>
      <c r="I32" s="14"/>
      <c r="J32" s="14"/>
    </row>
    <row r="33" ht="16.5" spans="1:10">
      <c r="A33" s="3"/>
      <c r="B33" s="3"/>
      <c r="C33" s="3" t="s">
        <v>66</v>
      </c>
      <c r="D33" s="4" t="s">
        <v>67</v>
      </c>
      <c r="E33" s="30">
        <v>13</v>
      </c>
      <c r="F33" s="30"/>
      <c r="G33" s="30">
        <v>13</v>
      </c>
      <c r="H33" s="30"/>
      <c r="I33" s="14"/>
      <c r="J33" s="14"/>
    </row>
    <row r="34" ht="16.5" spans="1:10">
      <c r="A34" s="3" t="s">
        <v>68</v>
      </c>
      <c r="B34" s="3"/>
      <c r="C34" s="3" t="s">
        <v>69</v>
      </c>
      <c r="D34" s="4" t="s">
        <v>70</v>
      </c>
      <c r="E34" s="30">
        <v>2600</v>
      </c>
      <c r="F34" s="30"/>
      <c r="G34" s="30">
        <v>2600</v>
      </c>
      <c r="H34" s="30"/>
      <c r="I34" s="14"/>
      <c r="J34" s="14"/>
    </row>
    <row r="35" ht="16.5" spans="1:10">
      <c r="A35" s="3"/>
      <c r="B35" s="3"/>
      <c r="C35" s="3" t="s">
        <v>71</v>
      </c>
      <c r="D35" s="4" t="s">
        <v>72</v>
      </c>
      <c r="E35" s="30"/>
      <c r="F35" s="30"/>
      <c r="G35" s="30">
        <v>71</v>
      </c>
      <c r="H35" s="30"/>
      <c r="I35" s="14"/>
      <c r="J35" s="14"/>
    </row>
    <row r="36" ht="16.5" spans="1:10">
      <c r="A36" s="3"/>
      <c r="B36" s="3"/>
      <c r="C36" s="3" t="s">
        <v>73</v>
      </c>
      <c r="D36" s="4" t="s">
        <v>74</v>
      </c>
      <c r="E36" s="30"/>
      <c r="F36" s="30"/>
      <c r="G36" s="30"/>
      <c r="H36" s="30"/>
      <c r="I36" s="14"/>
      <c r="J36" s="14"/>
    </row>
    <row r="37" ht="16.5" spans="1:10">
      <c r="A37" s="3" t="s">
        <v>75</v>
      </c>
      <c r="B37" s="3"/>
      <c r="C37" s="3"/>
      <c r="D37" s="4" t="s">
        <v>76</v>
      </c>
      <c r="E37" s="31"/>
      <c r="F37" s="31"/>
      <c r="G37" s="31"/>
      <c r="H37" s="31"/>
      <c r="I37" s="31"/>
      <c r="J37" s="31"/>
    </row>
    <row r="38" ht="16.5" spans="1:10">
      <c r="A38" s="10" t="s">
        <v>77</v>
      </c>
      <c r="B38" s="10"/>
      <c r="C38" s="10"/>
      <c r="D38" s="29" t="s">
        <v>78</v>
      </c>
      <c r="E38" s="32"/>
      <c r="F38" s="32"/>
      <c r="G38" s="11"/>
      <c r="H38" s="11"/>
      <c r="I38" s="32"/>
      <c r="J38" s="32"/>
    </row>
    <row r="39" ht="16.5" spans="1:10">
      <c r="A39" s="3" t="s">
        <v>79</v>
      </c>
      <c r="B39" s="3"/>
      <c r="C39" s="3"/>
      <c r="D39" s="3"/>
      <c r="E39" s="3"/>
      <c r="F39" s="3"/>
      <c r="G39" s="3"/>
      <c r="H39" s="3"/>
      <c r="I39" s="3"/>
      <c r="J39" s="3"/>
    </row>
    <row r="40" ht="16.5" spans="1:10">
      <c r="A40" s="2" t="s">
        <v>80</v>
      </c>
      <c r="B40" s="2"/>
      <c r="C40" s="2"/>
      <c r="D40" s="2"/>
      <c r="E40" s="14"/>
      <c r="F40" s="14"/>
      <c r="G40" s="14"/>
      <c r="H40" s="14"/>
      <c r="I40" s="14"/>
      <c r="J40" s="14"/>
    </row>
    <row r="41" ht="16.5" spans="1:10">
      <c r="A41" s="2" t="s">
        <v>81</v>
      </c>
      <c r="B41" s="2"/>
      <c r="C41" s="2"/>
      <c r="D41" s="2"/>
      <c r="E41" s="15"/>
      <c r="F41" s="15"/>
      <c r="G41" s="15"/>
      <c r="H41" s="15"/>
      <c r="I41" s="14"/>
      <c r="J41" s="14"/>
    </row>
    <row r="42" ht="16.5" spans="1:10">
      <c r="A42" s="2" t="s">
        <v>82</v>
      </c>
      <c r="B42" s="2"/>
      <c r="C42" s="2"/>
      <c r="D42" s="2"/>
      <c r="E42" s="3"/>
      <c r="F42" s="3"/>
      <c r="G42" s="3"/>
      <c r="H42" s="3"/>
      <c r="I42" s="14"/>
      <c r="J42" s="14"/>
    </row>
  </sheetData>
  <mergeCells count="63">
    <mergeCell ref="A1:J1"/>
    <mergeCell ref="E2:J2"/>
    <mergeCell ref="E3:F3"/>
    <mergeCell ref="G3:H3"/>
    <mergeCell ref="I3:J3"/>
    <mergeCell ref="A5:C5"/>
    <mergeCell ref="A6:C6"/>
    <mergeCell ref="A7:D7"/>
    <mergeCell ref="A8:B8"/>
    <mergeCell ref="A9:C9"/>
    <mergeCell ref="A10:C10"/>
    <mergeCell ref="A23:C23"/>
    <mergeCell ref="A24:C24"/>
    <mergeCell ref="A25:C25"/>
    <mergeCell ref="A26:B26"/>
    <mergeCell ref="A27:C27"/>
    <mergeCell ref="A28:C28"/>
    <mergeCell ref="A29:C29"/>
    <mergeCell ref="A30:C30"/>
    <mergeCell ref="E31:F31"/>
    <mergeCell ref="G31:H31"/>
    <mergeCell ref="I31:J31"/>
    <mergeCell ref="E32:F32"/>
    <mergeCell ref="G32:H32"/>
    <mergeCell ref="I32:J32"/>
    <mergeCell ref="E33:F33"/>
    <mergeCell ref="G33:H33"/>
    <mergeCell ref="I33:J33"/>
    <mergeCell ref="E34:F34"/>
    <mergeCell ref="G34:H34"/>
    <mergeCell ref="I34:J34"/>
    <mergeCell ref="E35:F35"/>
    <mergeCell ref="G35:H35"/>
    <mergeCell ref="I35:J35"/>
    <mergeCell ref="E36:F36"/>
    <mergeCell ref="G36:H36"/>
    <mergeCell ref="I36:J36"/>
    <mergeCell ref="A37:C37"/>
    <mergeCell ref="E37:F37"/>
    <mergeCell ref="G37:H37"/>
    <mergeCell ref="I37:J37"/>
    <mergeCell ref="A38:C38"/>
    <mergeCell ref="E38:F38"/>
    <mergeCell ref="G38:H38"/>
    <mergeCell ref="I38:J38"/>
    <mergeCell ref="A39:J39"/>
    <mergeCell ref="A40:D40"/>
    <mergeCell ref="E40:F40"/>
    <mergeCell ref="G40:H40"/>
    <mergeCell ref="I40:J40"/>
    <mergeCell ref="A41:D41"/>
    <mergeCell ref="E41:F41"/>
    <mergeCell ref="G41:H41"/>
    <mergeCell ref="I41:J41"/>
    <mergeCell ref="A42:D42"/>
    <mergeCell ref="E42:F42"/>
    <mergeCell ref="G42:H42"/>
    <mergeCell ref="I42:J42"/>
    <mergeCell ref="D2:D4"/>
    <mergeCell ref="A2:C4"/>
    <mergeCell ref="A11:B22"/>
    <mergeCell ref="A31:B33"/>
    <mergeCell ref="A34:B36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selection activeCell="P39" sqref="P39"/>
    </sheetView>
  </sheetViews>
  <sheetFormatPr defaultColWidth="9" defaultRowHeight="13.5"/>
  <cols>
    <col min="4" max="6" width="15.25" customWidth="1"/>
    <col min="7" max="7" width="17.75" customWidth="1"/>
    <col min="8" max="10" width="15.25" customWidth="1"/>
  </cols>
  <sheetData>
    <row r="1" ht="22.5" spans="1:10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</row>
    <row r="2" ht="16.5" spans="1:10">
      <c r="A2" s="2" t="s">
        <v>1</v>
      </c>
      <c r="B2" s="2"/>
      <c r="C2" s="2"/>
      <c r="D2" s="2" t="s">
        <v>2</v>
      </c>
      <c r="E2" s="2" t="s">
        <v>3</v>
      </c>
      <c r="F2" s="2"/>
      <c r="G2" s="2"/>
      <c r="H2" s="2"/>
      <c r="I2" s="2"/>
      <c r="J2" s="2"/>
    </row>
    <row r="3" ht="16.5" spans="1:10">
      <c r="A3" s="2"/>
      <c r="B3" s="2"/>
      <c r="C3" s="2"/>
      <c r="D3" s="2"/>
      <c r="E3" s="2" t="s">
        <v>4</v>
      </c>
      <c r="F3" s="2"/>
      <c r="G3" s="2" t="s">
        <v>5</v>
      </c>
      <c r="H3" s="2"/>
      <c r="I3" s="2" t="s">
        <v>6</v>
      </c>
      <c r="J3" s="2"/>
    </row>
    <row r="4" ht="16.5" spans="1:10">
      <c r="A4" s="2"/>
      <c r="B4" s="2"/>
      <c r="C4" s="2"/>
      <c r="D4" s="2"/>
      <c r="E4" s="2" t="s">
        <v>7</v>
      </c>
      <c r="F4" s="2" t="s">
        <v>8</v>
      </c>
      <c r="G4" s="2" t="s">
        <v>9</v>
      </c>
      <c r="H4" s="2" t="s">
        <v>8</v>
      </c>
      <c r="I4" s="2" t="s">
        <v>10</v>
      </c>
      <c r="J4" s="2" t="s">
        <v>11</v>
      </c>
    </row>
    <row r="5" ht="16.5" spans="1:10">
      <c r="A5" s="3" t="s">
        <v>84</v>
      </c>
      <c r="B5" s="3"/>
      <c r="C5" s="3"/>
      <c r="D5" s="4"/>
      <c r="E5" s="40">
        <v>3100000</v>
      </c>
      <c r="F5" s="2"/>
      <c r="G5" s="41"/>
      <c r="H5" s="2"/>
      <c r="I5" s="2">
        <f>G5-E5</f>
        <v>-3100000</v>
      </c>
      <c r="J5" s="6">
        <f>I5/E5</f>
        <v>-1</v>
      </c>
    </row>
    <row r="6" ht="16.5" spans="1:10">
      <c r="A6" s="96" t="s">
        <v>85</v>
      </c>
      <c r="B6" s="97"/>
      <c r="C6" s="98"/>
      <c r="D6" s="4"/>
      <c r="E6" s="14">
        <v>-250000</v>
      </c>
      <c r="F6" s="15"/>
      <c r="G6" s="14">
        <v>-186213.6</v>
      </c>
      <c r="H6" s="15"/>
      <c r="I6" s="14">
        <f>G6-E6</f>
        <v>63786.4</v>
      </c>
      <c r="J6" s="15">
        <f>I6/E6</f>
        <v>-0.2551456</v>
      </c>
    </row>
    <row r="7" ht="16.5" spans="1:10">
      <c r="A7" s="10" t="s">
        <v>14</v>
      </c>
      <c r="B7" s="10"/>
      <c r="C7" s="10"/>
      <c r="D7" s="10"/>
      <c r="E7" s="10"/>
      <c r="F7" s="12" t="s">
        <v>15</v>
      </c>
      <c r="G7" s="10"/>
      <c r="H7" s="12"/>
      <c r="I7" s="11"/>
      <c r="J7" s="12"/>
    </row>
    <row r="8" ht="16.5" spans="1:10">
      <c r="A8" s="3" t="s">
        <v>16</v>
      </c>
      <c r="B8" s="3"/>
      <c r="C8" s="13"/>
      <c r="D8" s="13"/>
      <c r="E8" s="13"/>
      <c r="F8" s="15"/>
      <c r="G8" s="14"/>
      <c r="H8" s="15"/>
      <c r="I8" s="14"/>
      <c r="J8" s="15"/>
    </row>
    <row r="9" ht="16.5" spans="1:10">
      <c r="A9" s="16" t="s">
        <v>17</v>
      </c>
      <c r="B9" s="16"/>
      <c r="C9" s="16"/>
      <c r="D9" s="4" t="s">
        <v>18</v>
      </c>
      <c r="E9" s="14"/>
      <c r="F9" s="14"/>
      <c r="G9" s="14">
        <f ca="1">SUM(G8:I72)</f>
        <v>0</v>
      </c>
      <c r="H9" s="14">
        <f>SUM(H8:H8)</f>
        <v>0</v>
      </c>
      <c r="I9" s="14">
        <f>SUM(I8:I8)</f>
        <v>0</v>
      </c>
      <c r="J9" s="15"/>
    </row>
    <row r="10" ht="16.5" spans="1:10">
      <c r="A10" s="10" t="s">
        <v>19</v>
      </c>
      <c r="B10" s="10"/>
      <c r="C10" s="10"/>
      <c r="D10" s="17" t="s">
        <v>20</v>
      </c>
      <c r="E10" s="11"/>
      <c r="F10" s="12"/>
      <c r="G10" s="11"/>
      <c r="H10" s="12"/>
      <c r="I10" s="11"/>
      <c r="J10" s="12"/>
    </row>
    <row r="11" ht="16.5" spans="1:10">
      <c r="A11" s="45" t="s">
        <v>21</v>
      </c>
      <c r="B11" s="45"/>
      <c r="C11" s="3" t="s">
        <v>22</v>
      </c>
      <c r="D11" s="4" t="s">
        <v>23</v>
      </c>
      <c r="E11" s="14">
        <v>780000</v>
      </c>
      <c r="F11" s="15"/>
      <c r="G11" s="46">
        <v>857060</v>
      </c>
      <c r="H11" s="15"/>
      <c r="I11" s="14">
        <f>G11-E11</f>
        <v>77060</v>
      </c>
      <c r="J11" s="15">
        <f>I11/E11</f>
        <v>0.0987948717948718</v>
      </c>
    </row>
    <row r="12" ht="16.5" spans="1:10">
      <c r="A12" s="45"/>
      <c r="B12" s="45"/>
      <c r="C12" s="3" t="s">
        <v>24</v>
      </c>
      <c r="D12" s="4" t="s">
        <v>25</v>
      </c>
      <c r="E12" s="14">
        <v>85000</v>
      </c>
      <c r="F12" s="15"/>
      <c r="G12" s="46">
        <v>29596</v>
      </c>
      <c r="H12" s="15"/>
      <c r="I12" s="14">
        <f>G12-E12</f>
        <v>-55404</v>
      </c>
      <c r="J12" s="15">
        <f>I12/E12</f>
        <v>-0.651811764705882</v>
      </c>
    </row>
    <row r="13" ht="16.5" spans="1:10">
      <c r="A13" s="45"/>
      <c r="B13" s="45"/>
      <c r="C13" s="3" t="s">
        <v>26</v>
      </c>
      <c r="D13" s="4" t="s">
        <v>27</v>
      </c>
      <c r="E13" s="14">
        <v>30000</v>
      </c>
      <c r="F13" s="15"/>
      <c r="G13" s="46">
        <v>0</v>
      </c>
      <c r="H13" s="15"/>
      <c r="I13" s="14"/>
      <c r="J13" s="15"/>
    </row>
    <row r="14" ht="16.5" spans="1:10">
      <c r="A14" s="45"/>
      <c r="B14" s="45"/>
      <c r="C14" s="3" t="s">
        <v>28</v>
      </c>
      <c r="D14" s="4" t="s">
        <v>29</v>
      </c>
      <c r="E14" s="14">
        <v>45000</v>
      </c>
      <c r="F14" s="15"/>
      <c r="G14" s="46">
        <v>12450</v>
      </c>
      <c r="H14" s="15"/>
      <c r="I14" s="14">
        <f t="shared" ref="I14:I17" si="0">G14-E14</f>
        <v>-32550</v>
      </c>
      <c r="J14" s="15">
        <f t="shared" ref="J14:J24" si="1">I14/E14</f>
        <v>-0.723333333333333</v>
      </c>
    </row>
    <row r="15" ht="16.5" spans="1:10">
      <c r="A15" s="45"/>
      <c r="B15" s="45"/>
      <c r="C15" s="3" t="s">
        <v>30</v>
      </c>
      <c r="D15" s="4" t="s">
        <v>31</v>
      </c>
      <c r="E15" s="14">
        <v>148300</v>
      </c>
      <c r="F15" s="15"/>
      <c r="G15" s="46">
        <v>112051.85</v>
      </c>
      <c r="H15" s="15"/>
      <c r="I15" s="14">
        <f t="shared" si="0"/>
        <v>-36248.15</v>
      </c>
      <c r="J15" s="15">
        <f t="shared" si="1"/>
        <v>-0.244424477410654</v>
      </c>
    </row>
    <row r="16" ht="16.5" spans="1:10">
      <c r="A16" s="45"/>
      <c r="B16" s="45"/>
      <c r="C16" s="3" t="s">
        <v>32</v>
      </c>
      <c r="D16" s="4" t="s">
        <v>33</v>
      </c>
      <c r="E16" s="14">
        <v>0</v>
      </c>
      <c r="F16" s="15"/>
      <c r="G16" s="14">
        <v>0</v>
      </c>
      <c r="H16" s="15"/>
      <c r="I16" s="14">
        <f t="shared" si="0"/>
        <v>0</v>
      </c>
      <c r="J16" s="15" t="e">
        <f t="shared" si="1"/>
        <v>#DIV/0!</v>
      </c>
    </row>
    <row r="17" ht="16.5" spans="1:10">
      <c r="A17" s="45"/>
      <c r="B17" s="45"/>
      <c r="C17" s="3" t="s">
        <v>34</v>
      </c>
      <c r="D17" s="4" t="s">
        <v>35</v>
      </c>
      <c r="E17" s="14">
        <v>0</v>
      </c>
      <c r="F17" s="15"/>
      <c r="G17" s="14">
        <v>0</v>
      </c>
      <c r="H17" s="15"/>
      <c r="I17" s="14">
        <f t="shared" si="0"/>
        <v>0</v>
      </c>
      <c r="J17" s="15" t="e">
        <f t="shared" si="1"/>
        <v>#DIV/0!</v>
      </c>
    </row>
    <row r="18" ht="16.5" spans="1:10">
      <c r="A18" s="45"/>
      <c r="B18" s="45"/>
      <c r="C18" s="48" t="s">
        <v>36</v>
      </c>
      <c r="D18" s="4" t="s">
        <v>37</v>
      </c>
      <c r="E18" s="14">
        <v>0</v>
      </c>
      <c r="F18" s="14"/>
      <c r="G18" s="14">
        <v>0</v>
      </c>
      <c r="H18" s="15"/>
      <c r="I18" s="14" t="e">
        <f>#REF!-E18</f>
        <v>#REF!</v>
      </c>
      <c r="J18" s="15" t="e">
        <f t="shared" si="1"/>
        <v>#REF!</v>
      </c>
    </row>
    <row r="19" ht="16.5" spans="1:10">
      <c r="A19" s="45"/>
      <c r="B19" s="45"/>
      <c r="C19" s="47" t="s">
        <v>38</v>
      </c>
      <c r="D19" s="4" t="s">
        <v>39</v>
      </c>
      <c r="E19" s="14">
        <v>0</v>
      </c>
      <c r="F19" s="14"/>
      <c r="G19" s="14">
        <v>0</v>
      </c>
      <c r="H19" s="15"/>
      <c r="I19" s="14">
        <f>G18-E19</f>
        <v>0</v>
      </c>
      <c r="J19" s="15" t="e">
        <f t="shared" si="1"/>
        <v>#DIV/0!</v>
      </c>
    </row>
    <row r="20" ht="16.5" spans="1:10">
      <c r="A20" s="45"/>
      <c r="B20" s="45"/>
      <c r="C20" s="47" t="s">
        <v>40</v>
      </c>
      <c r="D20" s="4" t="s">
        <v>41</v>
      </c>
      <c r="E20" s="14">
        <v>500</v>
      </c>
      <c r="F20" s="14"/>
      <c r="G20" s="14">
        <v>500</v>
      </c>
      <c r="H20" s="15"/>
      <c r="I20" s="14">
        <f t="shared" ref="I20:I24" si="2">G20-E20</f>
        <v>0</v>
      </c>
      <c r="J20" s="15">
        <f t="shared" si="1"/>
        <v>0</v>
      </c>
    </row>
    <row r="21" ht="16.5" spans="1:10">
      <c r="A21" s="45"/>
      <c r="B21" s="45"/>
      <c r="C21" s="48" t="s">
        <v>42</v>
      </c>
      <c r="D21" s="4" t="s">
        <v>43</v>
      </c>
      <c r="E21" s="14">
        <v>0</v>
      </c>
      <c r="F21" s="14"/>
      <c r="G21" s="14">
        <v>0</v>
      </c>
      <c r="H21" s="15"/>
      <c r="I21" s="14">
        <f t="shared" si="2"/>
        <v>0</v>
      </c>
      <c r="J21" s="15" t="e">
        <f t="shared" si="1"/>
        <v>#DIV/0!</v>
      </c>
    </row>
    <row r="22" ht="16.5" spans="1:10">
      <c r="A22" s="45"/>
      <c r="B22" s="45"/>
      <c r="C22" s="48" t="s">
        <v>44</v>
      </c>
      <c r="D22" s="4" t="s">
        <v>45</v>
      </c>
      <c r="E22" s="14">
        <v>482.5</v>
      </c>
      <c r="F22" s="14"/>
      <c r="G22" s="14">
        <v>482.5</v>
      </c>
      <c r="H22" s="15"/>
      <c r="I22" s="14">
        <f t="shared" si="2"/>
        <v>0</v>
      </c>
      <c r="J22" s="15">
        <f t="shared" si="1"/>
        <v>0</v>
      </c>
    </row>
    <row r="23" ht="20.25" spans="1:10">
      <c r="A23" s="16" t="s">
        <v>46</v>
      </c>
      <c r="B23" s="16"/>
      <c r="C23" s="16"/>
      <c r="D23" s="4" t="s">
        <v>47</v>
      </c>
      <c r="E23" s="25">
        <f>SUM(E11:E22)</f>
        <v>1089282.5</v>
      </c>
      <c r="F23" s="25"/>
      <c r="G23" s="99">
        <f>SUM(G11:G22)</f>
        <v>1012140.35</v>
      </c>
      <c r="H23" s="26"/>
      <c r="I23" s="25">
        <f t="shared" si="2"/>
        <v>-77142.15</v>
      </c>
      <c r="J23" s="26">
        <f t="shared" si="1"/>
        <v>-0.0708192319256024</v>
      </c>
    </row>
    <row r="24" ht="16.5" spans="1:10">
      <c r="A24" s="16" t="s">
        <v>48</v>
      </c>
      <c r="B24" s="16"/>
      <c r="C24" s="16"/>
      <c r="D24" s="4"/>
      <c r="E24" s="14">
        <f>E23/31</f>
        <v>35138.1451612903</v>
      </c>
      <c r="F24" s="14"/>
      <c r="G24" s="27">
        <f>G23/31</f>
        <v>32649.6887096774</v>
      </c>
      <c r="H24" s="15"/>
      <c r="I24" s="14">
        <f t="shared" si="2"/>
        <v>-2488.45645161291</v>
      </c>
      <c r="J24" s="15">
        <f t="shared" si="1"/>
        <v>-0.0708192319256025</v>
      </c>
    </row>
    <row r="25" ht="16.5" spans="1:10">
      <c r="A25" s="10" t="s">
        <v>49</v>
      </c>
      <c r="B25" s="10"/>
      <c r="C25" s="10"/>
      <c r="D25" s="17" t="s">
        <v>50</v>
      </c>
      <c r="E25" s="11"/>
      <c r="F25" s="12"/>
      <c r="G25" s="11"/>
      <c r="H25" s="12"/>
      <c r="I25" s="11"/>
      <c r="J25" s="12"/>
    </row>
    <row r="26" ht="16.5" spans="1:10">
      <c r="A26" s="3" t="s">
        <v>51</v>
      </c>
      <c r="B26" s="3"/>
      <c r="C26" s="3" t="s">
        <v>52</v>
      </c>
      <c r="D26" s="4" t="s">
        <v>53</v>
      </c>
      <c r="E26" s="3">
        <v>91997.6</v>
      </c>
      <c r="F26" s="15"/>
      <c r="G26" s="3">
        <v>117114.97</v>
      </c>
      <c r="H26" s="15"/>
      <c r="I26" s="14"/>
      <c r="J26" s="15"/>
    </row>
    <row r="27" ht="16.5" spans="1:10">
      <c r="A27" s="3" t="s">
        <v>54</v>
      </c>
      <c r="B27" s="3"/>
      <c r="C27" s="3"/>
      <c r="D27" s="4" t="s">
        <v>55</v>
      </c>
      <c r="E27" s="3">
        <v>91997.6</v>
      </c>
      <c r="F27" s="15"/>
      <c r="G27" s="3">
        <v>117114.97</v>
      </c>
      <c r="H27" s="15"/>
      <c r="I27" s="14"/>
      <c r="J27" s="15"/>
    </row>
    <row r="28" ht="16.5" spans="1:10">
      <c r="A28" s="3" t="s">
        <v>56</v>
      </c>
      <c r="B28" s="3"/>
      <c r="C28" s="3"/>
      <c r="D28" s="4"/>
      <c r="E28" s="14" t="e">
        <f>E27/E36</f>
        <v>#DIV/0!</v>
      </c>
      <c r="F28" s="14"/>
      <c r="G28" s="14" t="e">
        <f>G27/G36</f>
        <v>#DIV/0!</v>
      </c>
      <c r="H28" s="15"/>
      <c r="I28" s="14"/>
      <c r="J28" s="15"/>
    </row>
    <row r="29" ht="16.5" spans="1:10">
      <c r="A29" s="3" t="s">
        <v>57</v>
      </c>
      <c r="B29" s="3"/>
      <c r="C29" s="3"/>
      <c r="D29" s="4" t="s">
        <v>58</v>
      </c>
      <c r="E29" s="14"/>
      <c r="F29" s="15"/>
      <c r="G29" s="14"/>
      <c r="H29" s="15"/>
      <c r="I29" s="14"/>
      <c r="J29" s="15"/>
    </row>
    <row r="30" ht="16.5" spans="1:10">
      <c r="A30" s="28" t="s">
        <v>59</v>
      </c>
      <c r="B30" s="28"/>
      <c r="C30" s="28"/>
      <c r="D30" s="29" t="s">
        <v>60</v>
      </c>
      <c r="E30" s="11"/>
      <c r="F30" s="12"/>
      <c r="G30" s="11"/>
      <c r="H30" s="12"/>
      <c r="I30" s="11"/>
      <c r="J30" s="12"/>
    </row>
    <row r="31" ht="16.5" spans="1:10">
      <c r="A31" s="3" t="s">
        <v>61</v>
      </c>
      <c r="B31" s="3"/>
      <c r="C31" s="3" t="s">
        <v>62</v>
      </c>
      <c r="D31" s="4" t="s">
        <v>63</v>
      </c>
      <c r="E31" s="3">
        <v>13</v>
      </c>
      <c r="F31" s="3"/>
      <c r="G31" s="3">
        <v>13</v>
      </c>
      <c r="H31" s="3"/>
      <c r="I31" s="14"/>
      <c r="J31" s="14"/>
    </row>
    <row r="32" ht="16.5" spans="1:10">
      <c r="A32" s="3"/>
      <c r="B32" s="3"/>
      <c r="C32" s="3" t="s">
        <v>64</v>
      </c>
      <c r="D32" s="4" t="s">
        <v>65</v>
      </c>
      <c r="E32" s="3">
        <v>0</v>
      </c>
      <c r="F32" s="3"/>
      <c r="G32" s="3">
        <v>0</v>
      </c>
      <c r="H32" s="3"/>
      <c r="I32" s="14"/>
      <c r="J32" s="14"/>
    </row>
    <row r="33" ht="16.5" spans="1:10">
      <c r="A33" s="3"/>
      <c r="B33" s="3"/>
      <c r="C33" s="3" t="s">
        <v>66</v>
      </c>
      <c r="D33" s="4" t="s">
        <v>67</v>
      </c>
      <c r="E33" s="30">
        <v>13</v>
      </c>
      <c r="F33" s="30"/>
      <c r="G33" s="30">
        <v>13</v>
      </c>
      <c r="H33" s="30"/>
      <c r="I33" s="14"/>
      <c r="J33" s="14"/>
    </row>
    <row r="34" ht="16.5" spans="1:10">
      <c r="A34" s="3" t="s">
        <v>68</v>
      </c>
      <c r="B34" s="3"/>
      <c r="C34" s="3" t="s">
        <v>69</v>
      </c>
      <c r="D34" s="4" t="s">
        <v>70</v>
      </c>
      <c r="E34" s="30"/>
      <c r="F34" s="30"/>
      <c r="G34" s="30">
        <v>2496</v>
      </c>
      <c r="H34" s="30"/>
      <c r="I34" s="14"/>
      <c r="J34" s="14"/>
    </row>
    <row r="35" ht="16.5" spans="1:10">
      <c r="A35" s="3"/>
      <c r="B35" s="3"/>
      <c r="C35" s="3" t="s">
        <v>71</v>
      </c>
      <c r="D35" s="4" t="s">
        <v>72</v>
      </c>
      <c r="E35" s="30"/>
      <c r="F35" s="30"/>
      <c r="G35" s="30">
        <v>170</v>
      </c>
      <c r="H35" s="30"/>
      <c r="I35" s="14"/>
      <c r="J35" s="14"/>
    </row>
    <row r="36" ht="16.5" spans="1:10">
      <c r="A36" s="3"/>
      <c r="B36" s="3"/>
      <c r="C36" s="3" t="s">
        <v>73</v>
      </c>
      <c r="D36" s="4" t="s">
        <v>74</v>
      </c>
      <c r="E36" s="30"/>
      <c r="F36" s="30"/>
      <c r="G36" s="30"/>
      <c r="H36" s="30"/>
      <c r="I36" s="14"/>
      <c r="J36" s="14"/>
    </row>
    <row r="37" ht="16.5" spans="1:10">
      <c r="A37" s="3" t="s">
        <v>75</v>
      </c>
      <c r="B37" s="3"/>
      <c r="C37" s="3"/>
      <c r="D37" s="4" t="s">
        <v>76</v>
      </c>
      <c r="E37" s="31"/>
      <c r="F37" s="31"/>
      <c r="G37" s="31"/>
      <c r="H37" s="31"/>
      <c r="I37" s="31"/>
      <c r="J37" s="31"/>
    </row>
    <row r="38" ht="16.5" spans="1:10">
      <c r="A38" s="10" t="s">
        <v>77</v>
      </c>
      <c r="B38" s="10"/>
      <c r="C38" s="10"/>
      <c r="D38" s="29" t="s">
        <v>78</v>
      </c>
      <c r="E38" s="32"/>
      <c r="F38" s="32"/>
      <c r="G38" s="11"/>
      <c r="H38" s="11"/>
      <c r="I38" s="32"/>
      <c r="J38" s="32"/>
    </row>
    <row r="39" ht="16.5" spans="1:10">
      <c r="A39" s="3" t="s">
        <v>79</v>
      </c>
      <c r="B39" s="3"/>
      <c r="C39" s="3"/>
      <c r="D39" s="3"/>
      <c r="E39" s="3"/>
      <c r="F39" s="3"/>
      <c r="G39" s="3"/>
      <c r="H39" s="3"/>
      <c r="I39" s="3"/>
      <c r="J39" s="3"/>
    </row>
    <row r="40" ht="16.5" spans="1:10">
      <c r="A40" s="2" t="s">
        <v>80</v>
      </c>
      <c r="B40" s="2"/>
      <c r="C40" s="2"/>
      <c r="D40" s="2"/>
      <c r="E40" s="14"/>
      <c r="F40" s="14"/>
      <c r="G40" s="14"/>
      <c r="H40" s="14"/>
      <c r="I40" s="14"/>
      <c r="J40" s="14"/>
    </row>
    <row r="41" ht="16.5" spans="1:10">
      <c r="A41" s="2" t="s">
        <v>81</v>
      </c>
      <c r="B41" s="2"/>
      <c r="C41" s="2"/>
      <c r="D41" s="2"/>
      <c r="E41" s="15"/>
      <c r="F41" s="15"/>
      <c r="G41" s="15"/>
      <c r="H41" s="15"/>
      <c r="I41" s="14"/>
      <c r="J41" s="14"/>
    </row>
    <row r="42" ht="16.5" spans="1:10">
      <c r="A42" s="2" t="s">
        <v>82</v>
      </c>
      <c r="B42" s="2"/>
      <c r="C42" s="2"/>
      <c r="D42" s="2"/>
      <c r="E42" s="3"/>
      <c r="F42" s="3"/>
      <c r="G42" s="3"/>
      <c r="H42" s="3"/>
      <c r="I42" s="14"/>
      <c r="J42" s="14"/>
    </row>
  </sheetData>
  <mergeCells count="63">
    <mergeCell ref="A1:J1"/>
    <mergeCell ref="E2:J2"/>
    <mergeCell ref="E3:F3"/>
    <mergeCell ref="G3:H3"/>
    <mergeCell ref="I3:J3"/>
    <mergeCell ref="A5:C5"/>
    <mergeCell ref="A6:C6"/>
    <mergeCell ref="A7:D7"/>
    <mergeCell ref="A8:B8"/>
    <mergeCell ref="A9:C9"/>
    <mergeCell ref="A10:C10"/>
    <mergeCell ref="A23:C23"/>
    <mergeCell ref="A24:C24"/>
    <mergeCell ref="A25:C25"/>
    <mergeCell ref="A26:B26"/>
    <mergeCell ref="A27:C27"/>
    <mergeCell ref="A28:C28"/>
    <mergeCell ref="A29:C29"/>
    <mergeCell ref="A30:C30"/>
    <mergeCell ref="E31:F31"/>
    <mergeCell ref="G31:H31"/>
    <mergeCell ref="I31:J31"/>
    <mergeCell ref="E32:F32"/>
    <mergeCell ref="G32:H32"/>
    <mergeCell ref="I32:J32"/>
    <mergeCell ref="E33:F33"/>
    <mergeCell ref="G33:H33"/>
    <mergeCell ref="I33:J33"/>
    <mergeCell ref="E34:F34"/>
    <mergeCell ref="G34:H34"/>
    <mergeCell ref="I34:J34"/>
    <mergeCell ref="E35:F35"/>
    <mergeCell ref="G35:H35"/>
    <mergeCell ref="I35:J35"/>
    <mergeCell ref="E36:F36"/>
    <mergeCell ref="G36:H36"/>
    <mergeCell ref="I36:J36"/>
    <mergeCell ref="A37:C37"/>
    <mergeCell ref="E37:F37"/>
    <mergeCell ref="G37:H37"/>
    <mergeCell ref="I37:J37"/>
    <mergeCell ref="A38:C38"/>
    <mergeCell ref="E38:F38"/>
    <mergeCell ref="G38:H38"/>
    <mergeCell ref="I38:J38"/>
    <mergeCell ref="A39:J39"/>
    <mergeCell ref="A40:D40"/>
    <mergeCell ref="E40:F40"/>
    <mergeCell ref="G40:H40"/>
    <mergeCell ref="I40:J40"/>
    <mergeCell ref="A41:D41"/>
    <mergeCell ref="E41:F41"/>
    <mergeCell ref="G41:H41"/>
    <mergeCell ref="I41:J41"/>
    <mergeCell ref="A42:D42"/>
    <mergeCell ref="E42:F42"/>
    <mergeCell ref="G42:H42"/>
    <mergeCell ref="I42:J42"/>
    <mergeCell ref="D2:D4"/>
    <mergeCell ref="A2:C4"/>
    <mergeCell ref="A31:B33"/>
    <mergeCell ref="A34:B36"/>
    <mergeCell ref="A11:B22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selection activeCell="H48" sqref="H48"/>
    </sheetView>
  </sheetViews>
  <sheetFormatPr defaultColWidth="9" defaultRowHeight="13.5"/>
  <cols>
    <col min="5" max="5" width="20.125" customWidth="1"/>
    <col min="6" max="6" width="20.5" customWidth="1"/>
    <col min="7" max="7" width="14.5" customWidth="1"/>
    <col min="9" max="9" width="15.5" customWidth="1"/>
    <col min="10" max="10" width="17.5" customWidth="1"/>
  </cols>
  <sheetData>
    <row r="1" ht="22.5" spans="1:10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</row>
    <row r="2" ht="16.5" spans="1:10">
      <c r="A2" s="2" t="s">
        <v>1</v>
      </c>
      <c r="B2" s="2"/>
      <c r="C2" s="2"/>
      <c r="D2" s="2" t="s">
        <v>2</v>
      </c>
      <c r="E2" s="2" t="s">
        <v>3</v>
      </c>
      <c r="F2" s="2"/>
      <c r="G2" s="2"/>
      <c r="H2" s="2"/>
      <c r="I2" s="2"/>
      <c r="J2" s="2"/>
    </row>
    <row r="3" ht="16.5" spans="1:10">
      <c r="A3" s="2"/>
      <c r="B3" s="2"/>
      <c r="C3" s="2"/>
      <c r="D3" s="2"/>
      <c r="E3" s="2" t="s">
        <v>4</v>
      </c>
      <c r="F3" s="2"/>
      <c r="G3" s="2" t="s">
        <v>5</v>
      </c>
      <c r="H3" s="2"/>
      <c r="I3" s="2" t="s">
        <v>6</v>
      </c>
      <c r="J3" s="2"/>
    </row>
    <row r="4" ht="16.5" spans="1:10">
      <c r="A4" s="2"/>
      <c r="B4" s="2"/>
      <c r="C4" s="2"/>
      <c r="D4" s="2"/>
      <c r="E4" s="2" t="s">
        <v>7</v>
      </c>
      <c r="F4" s="2" t="s">
        <v>8</v>
      </c>
      <c r="G4" s="2" t="s">
        <v>9</v>
      </c>
      <c r="H4" s="2" t="s">
        <v>8</v>
      </c>
      <c r="I4" s="2" t="s">
        <v>10</v>
      </c>
      <c r="J4" s="2" t="s">
        <v>11</v>
      </c>
    </row>
    <row r="5" ht="16.5" spans="1:10">
      <c r="A5" s="3" t="s">
        <v>84</v>
      </c>
      <c r="B5" s="3"/>
      <c r="C5" s="3"/>
      <c r="D5" s="4"/>
      <c r="E5" s="40">
        <v>1800000</v>
      </c>
      <c r="F5" s="2"/>
      <c r="G5" s="41">
        <v>1402538</v>
      </c>
      <c r="H5" s="2"/>
      <c r="I5" s="2">
        <f>G5-E5</f>
        <v>-397462</v>
      </c>
      <c r="J5" s="6">
        <f>I5/E5</f>
        <v>-0.220812222222222</v>
      </c>
    </row>
    <row r="6" ht="16.5" spans="1:10">
      <c r="A6" s="96" t="s">
        <v>85</v>
      </c>
      <c r="B6" s="97"/>
      <c r="C6" s="98"/>
      <c r="D6" s="4"/>
      <c r="E6" s="14">
        <v>-130000</v>
      </c>
      <c r="F6" s="15"/>
      <c r="G6" s="14">
        <v>-188491.42</v>
      </c>
      <c r="H6" s="15"/>
      <c r="I6" s="14">
        <f>G6-E6</f>
        <v>-58491.42</v>
      </c>
      <c r="J6" s="15">
        <f>I6/E6</f>
        <v>0.449934</v>
      </c>
    </row>
    <row r="7" ht="16.5" spans="1:10">
      <c r="A7" s="10" t="s">
        <v>14</v>
      </c>
      <c r="B7" s="10"/>
      <c r="C7" s="10"/>
      <c r="D7" s="10"/>
      <c r="E7" s="10"/>
      <c r="F7" s="12" t="s">
        <v>15</v>
      </c>
      <c r="G7" s="10"/>
      <c r="H7" s="12"/>
      <c r="I7" s="11"/>
      <c r="J7" s="12"/>
    </row>
    <row r="8" ht="16.5" spans="1:10">
      <c r="A8" s="3" t="s">
        <v>16</v>
      </c>
      <c r="B8" s="3"/>
      <c r="C8" s="13"/>
      <c r="D8" s="13"/>
      <c r="E8" s="13"/>
      <c r="F8" s="15"/>
      <c r="G8" s="14"/>
      <c r="H8" s="15"/>
      <c r="I8" s="14"/>
      <c r="J8" s="15"/>
    </row>
    <row r="9" ht="16.5" spans="1:10">
      <c r="A9" s="16" t="s">
        <v>17</v>
      </c>
      <c r="B9" s="16"/>
      <c r="C9" s="16"/>
      <c r="D9" s="4" t="s">
        <v>18</v>
      </c>
      <c r="E9" s="14"/>
      <c r="F9" s="14"/>
      <c r="G9" s="14">
        <f ca="1">SUM(G8:I72)</f>
        <v>0</v>
      </c>
      <c r="H9" s="14">
        <f>SUM(H8:H8)</f>
        <v>0</v>
      </c>
      <c r="I9" s="14">
        <f>SUM(I8:I8)</f>
        <v>0</v>
      </c>
      <c r="J9" s="15"/>
    </row>
    <row r="10" ht="16.5" spans="1:10">
      <c r="A10" s="10" t="s">
        <v>19</v>
      </c>
      <c r="B10" s="10"/>
      <c r="C10" s="10"/>
      <c r="D10" s="17" t="s">
        <v>20</v>
      </c>
      <c r="E10" s="11"/>
      <c r="F10" s="12"/>
      <c r="G10" s="11"/>
      <c r="H10" s="12"/>
      <c r="I10" s="11"/>
      <c r="J10" s="12"/>
    </row>
    <row r="11" ht="16.5" spans="1:10">
      <c r="A11" s="45" t="s">
        <v>21</v>
      </c>
      <c r="B11" s="45"/>
      <c r="C11" s="3" t="s">
        <v>22</v>
      </c>
      <c r="D11" s="4" t="s">
        <v>23</v>
      </c>
      <c r="E11" s="14">
        <v>60000</v>
      </c>
      <c r="F11" s="15"/>
      <c r="G11" s="46">
        <v>88260.2</v>
      </c>
      <c r="H11" s="15"/>
      <c r="I11" s="14">
        <f t="shared" ref="I11:I17" si="0">G11-E11</f>
        <v>28260.2</v>
      </c>
      <c r="J11" s="15">
        <f t="shared" ref="J11:J24" si="1">I11/E11</f>
        <v>0.471003333333333</v>
      </c>
    </row>
    <row r="12" ht="16.5" spans="1:10">
      <c r="A12" s="45"/>
      <c r="B12" s="45"/>
      <c r="C12" s="3" t="s">
        <v>24</v>
      </c>
      <c r="D12" s="4" t="s">
        <v>25</v>
      </c>
      <c r="E12" s="14">
        <v>70000</v>
      </c>
      <c r="F12" s="15"/>
      <c r="G12" s="46">
        <v>39243.3</v>
      </c>
      <c r="H12" s="15"/>
      <c r="I12" s="14">
        <f t="shared" si="0"/>
        <v>-30756.7</v>
      </c>
      <c r="J12" s="15">
        <f t="shared" si="1"/>
        <v>-0.439381428571429</v>
      </c>
    </row>
    <row r="13" ht="16.5" spans="1:10">
      <c r="A13" s="45"/>
      <c r="B13" s="45"/>
      <c r="C13" s="3" t="s">
        <v>26</v>
      </c>
      <c r="D13" s="4" t="s">
        <v>27</v>
      </c>
      <c r="E13" s="14">
        <v>5000</v>
      </c>
      <c r="F13" s="15"/>
      <c r="G13" s="46">
        <v>22400</v>
      </c>
      <c r="H13" s="15"/>
      <c r="I13" s="14">
        <f t="shared" si="0"/>
        <v>17400</v>
      </c>
      <c r="J13" s="15">
        <f t="shared" si="1"/>
        <v>3.48</v>
      </c>
    </row>
    <row r="14" ht="16.5" spans="1:10">
      <c r="A14" s="45"/>
      <c r="B14" s="45"/>
      <c r="C14" s="3" t="s">
        <v>28</v>
      </c>
      <c r="D14" s="4" t="s">
        <v>29</v>
      </c>
      <c r="E14" s="14">
        <v>55000</v>
      </c>
      <c r="F14" s="15"/>
      <c r="G14" s="46">
        <v>55347</v>
      </c>
      <c r="H14" s="15"/>
      <c r="I14" s="14">
        <f t="shared" si="0"/>
        <v>347</v>
      </c>
      <c r="J14" s="15">
        <f t="shared" si="1"/>
        <v>0.00630909090909091</v>
      </c>
    </row>
    <row r="15" ht="16.5" spans="1:10">
      <c r="A15" s="45"/>
      <c r="B15" s="45"/>
      <c r="C15" s="3" t="s">
        <v>30</v>
      </c>
      <c r="D15" s="4" t="s">
        <v>31</v>
      </c>
      <c r="E15" s="14">
        <v>117300</v>
      </c>
      <c r="F15" s="15"/>
      <c r="G15" s="14">
        <v>132166.45</v>
      </c>
      <c r="H15" s="15"/>
      <c r="I15" s="14">
        <f t="shared" si="0"/>
        <v>14866.45</v>
      </c>
      <c r="J15" s="15">
        <f t="shared" si="1"/>
        <v>0.126738704177323</v>
      </c>
    </row>
    <row r="16" ht="16.5" spans="1:10">
      <c r="A16" s="45"/>
      <c r="B16" s="45"/>
      <c r="C16" s="3" t="s">
        <v>32</v>
      </c>
      <c r="D16" s="4" t="s">
        <v>33</v>
      </c>
      <c r="E16" s="14">
        <v>0</v>
      </c>
      <c r="F16" s="15"/>
      <c r="G16" s="14">
        <v>0</v>
      </c>
      <c r="H16" s="15"/>
      <c r="I16" s="14">
        <f t="shared" si="0"/>
        <v>0</v>
      </c>
      <c r="J16" s="15" t="e">
        <f t="shared" si="1"/>
        <v>#DIV/0!</v>
      </c>
    </row>
    <row r="17" ht="16.5" spans="1:10">
      <c r="A17" s="45"/>
      <c r="B17" s="45"/>
      <c r="C17" s="3" t="s">
        <v>34</v>
      </c>
      <c r="D17" s="4" t="s">
        <v>35</v>
      </c>
      <c r="E17" s="14">
        <v>0</v>
      </c>
      <c r="F17" s="15"/>
      <c r="G17" s="14">
        <v>0</v>
      </c>
      <c r="H17" s="15"/>
      <c r="I17" s="14">
        <f t="shared" si="0"/>
        <v>0</v>
      </c>
      <c r="J17" s="15" t="e">
        <f t="shared" si="1"/>
        <v>#DIV/0!</v>
      </c>
    </row>
    <row r="18" ht="16.5" spans="1:10">
      <c r="A18" s="45"/>
      <c r="B18" s="45"/>
      <c r="C18" s="48" t="s">
        <v>36</v>
      </c>
      <c r="D18" s="4" t="s">
        <v>37</v>
      </c>
      <c r="E18" s="14">
        <v>0</v>
      </c>
      <c r="F18" s="14"/>
      <c r="G18" s="14">
        <v>0</v>
      </c>
      <c r="H18" s="15"/>
      <c r="I18" s="14" t="e">
        <f>#REF!-E18</f>
        <v>#REF!</v>
      </c>
      <c r="J18" s="15" t="e">
        <f t="shared" si="1"/>
        <v>#REF!</v>
      </c>
    </row>
    <row r="19" ht="16.5" spans="1:10">
      <c r="A19" s="45"/>
      <c r="B19" s="45"/>
      <c r="C19" s="47" t="s">
        <v>38</v>
      </c>
      <c r="D19" s="4" t="s">
        <v>39</v>
      </c>
      <c r="E19" s="14">
        <v>0</v>
      </c>
      <c r="F19" s="14"/>
      <c r="G19" s="14">
        <v>0</v>
      </c>
      <c r="H19" s="15"/>
      <c r="I19" s="14">
        <f>G18-E19</f>
        <v>0</v>
      </c>
      <c r="J19" s="15" t="e">
        <f t="shared" si="1"/>
        <v>#DIV/0!</v>
      </c>
    </row>
    <row r="20" ht="16.5" spans="1:10">
      <c r="A20" s="45"/>
      <c r="B20" s="45"/>
      <c r="C20" s="47" t="s">
        <v>40</v>
      </c>
      <c r="D20" s="4" t="s">
        <v>41</v>
      </c>
      <c r="E20" s="14">
        <v>500</v>
      </c>
      <c r="F20" s="14"/>
      <c r="G20" s="14">
        <v>500</v>
      </c>
      <c r="H20" s="15"/>
      <c r="I20" s="14">
        <f t="shared" ref="I20:I24" si="2">G20-E20</f>
        <v>0</v>
      </c>
      <c r="J20" s="15">
        <f t="shared" si="1"/>
        <v>0</v>
      </c>
    </row>
    <row r="21" ht="16.5" spans="1:10">
      <c r="A21" s="45"/>
      <c r="B21" s="45"/>
      <c r="C21" s="48" t="s">
        <v>42</v>
      </c>
      <c r="D21" s="4" t="s">
        <v>43</v>
      </c>
      <c r="E21" s="14">
        <v>0</v>
      </c>
      <c r="F21" s="14"/>
      <c r="G21" s="14">
        <v>0</v>
      </c>
      <c r="H21" s="15"/>
      <c r="I21" s="14">
        <f t="shared" si="2"/>
        <v>0</v>
      </c>
      <c r="J21" s="15" t="e">
        <f t="shared" si="1"/>
        <v>#DIV/0!</v>
      </c>
    </row>
    <row r="22" ht="16.5" spans="1:10">
      <c r="A22" s="45"/>
      <c r="B22" s="45"/>
      <c r="C22" s="48" t="s">
        <v>44</v>
      </c>
      <c r="D22" s="4" t="s">
        <v>45</v>
      </c>
      <c r="E22" s="14">
        <v>482.5</v>
      </c>
      <c r="F22" s="14"/>
      <c r="G22" s="14">
        <v>482.5</v>
      </c>
      <c r="H22" s="15"/>
      <c r="I22" s="14">
        <f t="shared" si="2"/>
        <v>0</v>
      </c>
      <c r="J22" s="15">
        <f t="shared" si="1"/>
        <v>0</v>
      </c>
    </row>
    <row r="23" ht="20.25" spans="1:10">
      <c r="A23" s="16" t="s">
        <v>46</v>
      </c>
      <c r="B23" s="16"/>
      <c r="C23" s="16"/>
      <c r="D23" s="4" t="s">
        <v>47</v>
      </c>
      <c r="E23" s="25">
        <f>SUM(E11:E22)</f>
        <v>308282.5</v>
      </c>
      <c r="F23" s="25"/>
      <c r="G23" s="99">
        <f>SUM(G11:G22)</f>
        <v>338399.45</v>
      </c>
      <c r="H23" s="26"/>
      <c r="I23" s="25">
        <f t="shared" si="2"/>
        <v>30116.95</v>
      </c>
      <c r="J23" s="26">
        <f t="shared" si="1"/>
        <v>0.0976927006884919</v>
      </c>
    </row>
    <row r="24" ht="16.5" spans="1:10">
      <c r="A24" s="16" t="s">
        <v>48</v>
      </c>
      <c r="B24" s="16"/>
      <c r="C24" s="16"/>
      <c r="D24" s="4"/>
      <c r="E24" s="14">
        <f>E23/30</f>
        <v>10276.0833333333</v>
      </c>
      <c r="F24" s="14"/>
      <c r="G24" s="27">
        <f>G23/31</f>
        <v>10916.1112903226</v>
      </c>
      <c r="H24" s="15"/>
      <c r="I24" s="14">
        <f t="shared" si="2"/>
        <v>640.027956989281</v>
      </c>
      <c r="J24" s="15">
        <f t="shared" si="1"/>
        <v>0.0622832587308021</v>
      </c>
    </row>
    <row r="25" ht="16.5" spans="1:10">
      <c r="A25" s="10" t="s">
        <v>49</v>
      </c>
      <c r="B25" s="10"/>
      <c r="C25" s="10"/>
      <c r="D25" s="17" t="s">
        <v>50</v>
      </c>
      <c r="E25" s="11"/>
      <c r="F25" s="12"/>
      <c r="G25" s="11"/>
      <c r="H25" s="12"/>
      <c r="I25" s="11"/>
      <c r="J25" s="12"/>
    </row>
    <row r="26" ht="16.5" spans="1:10">
      <c r="A26" s="3" t="s">
        <v>51</v>
      </c>
      <c r="B26" s="3"/>
      <c r="C26" s="3" t="s">
        <v>52</v>
      </c>
      <c r="D26" s="4" t="s">
        <v>53</v>
      </c>
      <c r="E26" s="3">
        <v>91997.6</v>
      </c>
      <c r="F26" s="15"/>
      <c r="G26" s="3">
        <v>90922.1</v>
      </c>
      <c r="H26" s="15"/>
      <c r="I26" s="14"/>
      <c r="J26" s="15"/>
    </row>
    <row r="27" ht="16.5" spans="1:10">
      <c r="A27" s="3" t="s">
        <v>54</v>
      </c>
      <c r="B27" s="3"/>
      <c r="C27" s="3"/>
      <c r="D27" s="4" t="s">
        <v>55</v>
      </c>
      <c r="E27" s="3">
        <v>91997.6</v>
      </c>
      <c r="F27" s="15"/>
      <c r="G27" s="3">
        <v>90922.1</v>
      </c>
      <c r="H27" s="15"/>
      <c r="I27" s="14"/>
      <c r="J27" s="15"/>
    </row>
    <row r="28" ht="16.5" spans="1:10">
      <c r="A28" s="3" t="s">
        <v>56</v>
      </c>
      <c r="B28" s="3"/>
      <c r="C28" s="3"/>
      <c r="D28" s="4"/>
      <c r="E28" s="14">
        <f>E27/E36</f>
        <v>36.2766561514196</v>
      </c>
      <c r="F28" s="14"/>
      <c r="G28" s="14">
        <f>G27/G36</f>
        <v>36.0087524752475</v>
      </c>
      <c r="H28" s="15"/>
      <c r="I28" s="14"/>
      <c r="J28" s="15"/>
    </row>
    <row r="29" ht="16.5" spans="1:10">
      <c r="A29" s="3" t="s">
        <v>57</v>
      </c>
      <c r="B29" s="3"/>
      <c r="C29" s="3"/>
      <c r="D29" s="4" t="s">
        <v>58</v>
      </c>
      <c r="E29" s="14"/>
      <c r="F29" s="15"/>
      <c r="G29" s="14"/>
      <c r="H29" s="15"/>
      <c r="I29" s="14"/>
      <c r="J29" s="15"/>
    </row>
    <row r="30" ht="16.5" spans="1:10">
      <c r="A30" s="28" t="s">
        <v>59</v>
      </c>
      <c r="B30" s="28"/>
      <c r="C30" s="28"/>
      <c r="D30" s="29" t="s">
        <v>60</v>
      </c>
      <c r="E30" s="11"/>
      <c r="F30" s="12"/>
      <c r="G30" s="11"/>
      <c r="H30" s="12"/>
      <c r="I30" s="11"/>
      <c r="J30" s="12"/>
    </row>
    <row r="31" ht="16.5" spans="1:10">
      <c r="A31" s="3" t="s">
        <v>61</v>
      </c>
      <c r="B31" s="3"/>
      <c r="C31" s="3" t="s">
        <v>62</v>
      </c>
      <c r="D31" s="4" t="s">
        <v>63</v>
      </c>
      <c r="E31" s="3">
        <v>13</v>
      </c>
      <c r="F31" s="3"/>
      <c r="G31" s="3">
        <v>13</v>
      </c>
      <c r="H31" s="3"/>
      <c r="I31" s="14"/>
      <c r="J31" s="14"/>
    </row>
    <row r="32" ht="16.5" spans="1:10">
      <c r="A32" s="3"/>
      <c r="B32" s="3"/>
      <c r="C32" s="3" t="s">
        <v>64</v>
      </c>
      <c r="D32" s="4" t="s">
        <v>65</v>
      </c>
      <c r="E32" s="3">
        <v>0</v>
      </c>
      <c r="F32" s="3"/>
      <c r="G32" s="3">
        <v>0</v>
      </c>
      <c r="H32" s="3"/>
      <c r="I32" s="14"/>
      <c r="J32" s="14"/>
    </row>
    <row r="33" ht="16.5" spans="1:10">
      <c r="A33" s="3"/>
      <c r="B33" s="3"/>
      <c r="C33" s="3" t="s">
        <v>66</v>
      </c>
      <c r="D33" s="4" t="s">
        <v>67</v>
      </c>
      <c r="E33" s="30">
        <v>13</v>
      </c>
      <c r="F33" s="30"/>
      <c r="G33" s="30">
        <v>13</v>
      </c>
      <c r="H33" s="30"/>
      <c r="I33" s="14"/>
      <c r="J33" s="14"/>
    </row>
    <row r="34" ht="16.5" spans="1:10">
      <c r="A34" s="3" t="s">
        <v>68</v>
      </c>
      <c r="B34" s="3"/>
      <c r="C34" s="3" t="s">
        <v>69</v>
      </c>
      <c r="D34" s="4" t="s">
        <v>70</v>
      </c>
      <c r="E34" s="30">
        <v>2496</v>
      </c>
      <c r="F34" s="30"/>
      <c r="G34" s="30">
        <v>2496</v>
      </c>
      <c r="H34" s="30"/>
      <c r="I34" s="14"/>
      <c r="J34" s="14"/>
    </row>
    <row r="35" ht="16.5" spans="1:10">
      <c r="A35" s="3"/>
      <c r="B35" s="3"/>
      <c r="C35" s="3" t="s">
        <v>71</v>
      </c>
      <c r="D35" s="4" t="s">
        <v>72</v>
      </c>
      <c r="E35" s="30">
        <v>40</v>
      </c>
      <c r="F35" s="30"/>
      <c r="G35" s="30">
        <v>29</v>
      </c>
      <c r="H35" s="30"/>
      <c r="I35" s="14"/>
      <c r="J35" s="14"/>
    </row>
    <row r="36" ht="16.5" spans="1:10">
      <c r="A36" s="3"/>
      <c r="B36" s="3"/>
      <c r="C36" s="3" t="s">
        <v>73</v>
      </c>
      <c r="D36" s="4" t="s">
        <v>74</v>
      </c>
      <c r="E36" s="30">
        <v>2536</v>
      </c>
      <c r="F36" s="30"/>
      <c r="G36" s="30">
        <v>2525</v>
      </c>
      <c r="H36" s="30"/>
      <c r="I36" s="14"/>
      <c r="J36" s="14"/>
    </row>
    <row r="37" ht="16.5" spans="1:10">
      <c r="A37" s="3" t="s">
        <v>75</v>
      </c>
      <c r="B37" s="3"/>
      <c r="C37" s="3"/>
      <c r="D37" s="4" t="s">
        <v>76</v>
      </c>
      <c r="E37" s="31"/>
      <c r="F37" s="31"/>
      <c r="G37" s="31"/>
      <c r="H37" s="31"/>
      <c r="I37" s="31"/>
      <c r="J37" s="31"/>
    </row>
    <row r="38" ht="16.5" spans="1:10">
      <c r="A38" s="10" t="s">
        <v>77</v>
      </c>
      <c r="B38" s="10"/>
      <c r="C38" s="10"/>
      <c r="D38" s="29" t="s">
        <v>78</v>
      </c>
      <c r="E38" s="32"/>
      <c r="F38" s="32"/>
      <c r="G38" s="11"/>
      <c r="H38" s="11"/>
      <c r="I38" s="32"/>
      <c r="J38" s="32"/>
    </row>
    <row r="39" ht="16.5" spans="1:10">
      <c r="A39" s="3" t="s">
        <v>79</v>
      </c>
      <c r="B39" s="3"/>
      <c r="C39" s="3"/>
      <c r="D39" s="3"/>
      <c r="E39" s="3"/>
      <c r="F39" s="3"/>
      <c r="G39" s="3"/>
      <c r="H39" s="3"/>
      <c r="I39" s="3"/>
      <c r="J39" s="3"/>
    </row>
    <row r="40" ht="16.5" spans="1:10">
      <c r="A40" s="2" t="s">
        <v>80</v>
      </c>
      <c r="B40" s="2"/>
      <c r="C40" s="2"/>
      <c r="D40" s="2"/>
      <c r="E40" s="14"/>
      <c r="F40" s="14"/>
      <c r="G40" s="14"/>
      <c r="H40" s="14"/>
      <c r="I40" s="14"/>
      <c r="J40" s="14"/>
    </row>
    <row r="41" ht="16.5" spans="1:10">
      <c r="A41" s="2" t="s">
        <v>81</v>
      </c>
      <c r="B41" s="2"/>
      <c r="C41" s="2"/>
      <c r="D41" s="2"/>
      <c r="E41" s="15"/>
      <c r="F41" s="15"/>
      <c r="G41" s="15"/>
      <c r="H41" s="15"/>
      <c r="I41" s="14"/>
      <c r="J41" s="14"/>
    </row>
    <row r="42" ht="16.5" spans="1:10">
      <c r="A42" s="2" t="s">
        <v>82</v>
      </c>
      <c r="B42" s="2"/>
      <c r="C42" s="2"/>
      <c r="D42" s="2"/>
      <c r="E42" s="3"/>
      <c r="F42" s="3"/>
      <c r="G42" s="3"/>
      <c r="H42" s="3"/>
      <c r="I42" s="14"/>
      <c r="J42" s="14"/>
    </row>
  </sheetData>
  <mergeCells count="63">
    <mergeCell ref="A1:J1"/>
    <mergeCell ref="E2:J2"/>
    <mergeCell ref="E3:F3"/>
    <mergeCell ref="G3:H3"/>
    <mergeCell ref="I3:J3"/>
    <mergeCell ref="A5:C5"/>
    <mergeCell ref="A6:C6"/>
    <mergeCell ref="A7:D7"/>
    <mergeCell ref="A8:B8"/>
    <mergeCell ref="A9:C9"/>
    <mergeCell ref="A10:C10"/>
    <mergeCell ref="A23:C23"/>
    <mergeCell ref="A24:C24"/>
    <mergeCell ref="A25:C25"/>
    <mergeCell ref="A26:B26"/>
    <mergeCell ref="A27:C27"/>
    <mergeCell ref="A28:C28"/>
    <mergeCell ref="A29:C29"/>
    <mergeCell ref="A30:C30"/>
    <mergeCell ref="E31:F31"/>
    <mergeCell ref="G31:H31"/>
    <mergeCell ref="I31:J31"/>
    <mergeCell ref="E32:F32"/>
    <mergeCell ref="G32:H32"/>
    <mergeCell ref="I32:J32"/>
    <mergeCell ref="E33:F33"/>
    <mergeCell ref="G33:H33"/>
    <mergeCell ref="I33:J33"/>
    <mergeCell ref="E34:F34"/>
    <mergeCell ref="G34:H34"/>
    <mergeCell ref="I34:J34"/>
    <mergeCell ref="E35:F35"/>
    <mergeCell ref="G35:H35"/>
    <mergeCell ref="I35:J35"/>
    <mergeCell ref="E36:F36"/>
    <mergeCell ref="G36:H36"/>
    <mergeCell ref="I36:J36"/>
    <mergeCell ref="A37:C37"/>
    <mergeCell ref="E37:F37"/>
    <mergeCell ref="G37:H37"/>
    <mergeCell ref="I37:J37"/>
    <mergeCell ref="A38:C38"/>
    <mergeCell ref="E38:F38"/>
    <mergeCell ref="G38:H38"/>
    <mergeCell ref="I38:J38"/>
    <mergeCell ref="A39:J39"/>
    <mergeCell ref="A40:D40"/>
    <mergeCell ref="E40:F40"/>
    <mergeCell ref="G40:H40"/>
    <mergeCell ref="I40:J40"/>
    <mergeCell ref="A41:D41"/>
    <mergeCell ref="E41:F41"/>
    <mergeCell ref="G41:H41"/>
    <mergeCell ref="I41:J41"/>
    <mergeCell ref="A42:D42"/>
    <mergeCell ref="E42:F42"/>
    <mergeCell ref="G42:H42"/>
    <mergeCell ref="I42:J42"/>
    <mergeCell ref="D2:D4"/>
    <mergeCell ref="A2:C4"/>
    <mergeCell ref="A11:B22"/>
    <mergeCell ref="A31:B33"/>
    <mergeCell ref="A34:B36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7"/>
  <sheetViews>
    <sheetView workbookViewId="0">
      <selection activeCell="E72" sqref="E72"/>
    </sheetView>
  </sheetViews>
  <sheetFormatPr defaultColWidth="9" defaultRowHeight="13.5"/>
  <cols>
    <col min="3" max="3" width="24.875" customWidth="1"/>
    <col min="4" max="4" width="16.75" customWidth="1"/>
    <col min="5" max="12" width="18" customWidth="1"/>
  </cols>
  <sheetData>
    <row r="1" ht="22.5" spans="1:12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6.5" customHeight="1" spans="1:12">
      <c r="A2" s="2" t="s">
        <v>1</v>
      </c>
      <c r="B2" s="2"/>
      <c r="C2" s="2"/>
      <c r="D2" s="2" t="s">
        <v>2</v>
      </c>
      <c r="E2" s="2" t="s">
        <v>3</v>
      </c>
      <c r="F2" s="2"/>
      <c r="G2" s="2"/>
      <c r="H2" s="2"/>
      <c r="I2" s="2"/>
      <c r="J2" s="2"/>
      <c r="K2" s="2"/>
      <c r="L2" s="2"/>
    </row>
    <row r="3" ht="16.5" spans="1:12">
      <c r="A3" s="2"/>
      <c r="B3" s="2"/>
      <c r="C3" s="2"/>
      <c r="D3" s="2"/>
      <c r="E3" s="2" t="s">
        <v>88</v>
      </c>
      <c r="F3" s="2"/>
      <c r="G3" s="36" t="s">
        <v>89</v>
      </c>
      <c r="H3" s="37"/>
      <c r="I3" s="2" t="s">
        <v>90</v>
      </c>
      <c r="J3" s="2"/>
      <c r="K3" s="2" t="s">
        <v>6</v>
      </c>
      <c r="L3" s="2"/>
    </row>
    <row r="4" ht="16.5" spans="1:12">
      <c r="A4" s="2"/>
      <c r="B4" s="2"/>
      <c r="C4" s="2"/>
      <c r="D4" s="2"/>
      <c r="E4" s="2" t="s">
        <v>91</v>
      </c>
      <c r="F4" s="2" t="s">
        <v>8</v>
      </c>
      <c r="G4" s="2" t="s">
        <v>7</v>
      </c>
      <c r="H4" s="2" t="s">
        <v>8</v>
      </c>
      <c r="I4" s="2" t="s">
        <v>9</v>
      </c>
      <c r="J4" s="2" t="s">
        <v>8</v>
      </c>
      <c r="K4" s="2" t="s">
        <v>10</v>
      </c>
      <c r="L4" s="2" t="s">
        <v>11</v>
      </c>
    </row>
    <row r="5" ht="16.5" spans="1:12">
      <c r="A5" s="36" t="s">
        <v>92</v>
      </c>
      <c r="B5" s="38"/>
      <c r="C5" s="37"/>
      <c r="D5" s="39" t="s">
        <v>93</v>
      </c>
      <c r="E5" s="40">
        <v>140000</v>
      </c>
      <c r="F5" s="2"/>
      <c r="G5" s="40">
        <v>140000</v>
      </c>
      <c r="H5" s="41"/>
      <c r="I5" s="41">
        <v>107000</v>
      </c>
      <c r="J5" s="2"/>
      <c r="K5" s="2"/>
      <c r="L5" s="6"/>
    </row>
    <row r="6" ht="16.5" customHeight="1" spans="1:12">
      <c r="A6" s="36" t="s">
        <v>94</v>
      </c>
      <c r="B6" s="38"/>
      <c r="C6" s="37"/>
      <c r="D6" s="39" t="s">
        <v>95</v>
      </c>
      <c r="E6" s="40">
        <v>40000</v>
      </c>
      <c r="F6" s="2"/>
      <c r="G6" s="40">
        <v>40000</v>
      </c>
      <c r="H6" s="41"/>
      <c r="I6" s="41">
        <v>23000</v>
      </c>
      <c r="J6" s="2"/>
      <c r="K6" s="2"/>
      <c r="L6" s="6"/>
    </row>
    <row r="7" ht="16.5" spans="1:12">
      <c r="A7" s="36" t="s">
        <v>96</v>
      </c>
      <c r="B7" s="38"/>
      <c r="C7" s="37"/>
      <c r="D7" s="39" t="s">
        <v>97</v>
      </c>
      <c r="E7" s="40">
        <v>20000</v>
      </c>
      <c r="F7" s="2"/>
      <c r="G7" s="40">
        <v>20000</v>
      </c>
      <c r="H7" s="41"/>
      <c r="I7" s="41">
        <v>24646.39</v>
      </c>
      <c r="J7" s="2"/>
      <c r="K7" s="2"/>
      <c r="L7" s="6"/>
    </row>
    <row r="8" ht="36" customHeight="1" spans="1:12">
      <c r="A8" s="42" t="s">
        <v>98</v>
      </c>
      <c r="B8" s="43"/>
      <c r="C8" s="43"/>
      <c r="D8" s="43"/>
      <c r="E8" s="44">
        <f>SUM(E5:E7)</f>
        <v>200000</v>
      </c>
      <c r="F8" s="12"/>
      <c r="G8" s="44">
        <f>SUM(G5:G7)</f>
        <v>200000</v>
      </c>
      <c r="H8" s="10"/>
      <c r="I8" s="44">
        <f>SUM(I5:I7)</f>
        <v>154646.39</v>
      </c>
      <c r="J8" s="12"/>
      <c r="K8" s="11"/>
      <c r="L8" s="12"/>
    </row>
    <row r="9" ht="16.5" spans="1:12">
      <c r="A9" s="45" t="s">
        <v>21</v>
      </c>
      <c r="B9" s="45"/>
      <c r="C9" s="3" t="s">
        <v>22</v>
      </c>
      <c r="D9" s="39" t="s">
        <v>99</v>
      </c>
      <c r="E9" s="14">
        <v>300000</v>
      </c>
      <c r="F9" s="15"/>
      <c r="G9" s="14">
        <v>300000</v>
      </c>
      <c r="H9" s="46"/>
      <c r="I9" s="94">
        <v>300289.75</v>
      </c>
      <c r="J9" s="15"/>
      <c r="K9" s="14">
        <f t="shared" ref="K9:K19" si="0">I9-E9</f>
        <v>289.75</v>
      </c>
      <c r="L9" s="15">
        <f t="shared" ref="L9:L22" si="1">K9/E9</f>
        <v>0.000965833333333333</v>
      </c>
    </row>
    <row r="10" ht="16.5" spans="1:12">
      <c r="A10" s="45"/>
      <c r="B10" s="45"/>
      <c r="C10" s="3" t="s">
        <v>24</v>
      </c>
      <c r="D10" s="39" t="s">
        <v>100</v>
      </c>
      <c r="E10" s="14">
        <v>90000</v>
      </c>
      <c r="F10" s="15"/>
      <c r="G10" s="14">
        <v>90000</v>
      </c>
      <c r="H10" s="46"/>
      <c r="I10" s="94">
        <v>12719.7</v>
      </c>
      <c r="J10" s="15"/>
      <c r="K10" s="14">
        <f t="shared" si="0"/>
        <v>-77280.3</v>
      </c>
      <c r="L10" s="15">
        <f t="shared" si="1"/>
        <v>-0.85867</v>
      </c>
    </row>
    <row r="11" ht="22.5" customHeight="1" spans="1:12">
      <c r="A11" s="45"/>
      <c r="B11" s="45"/>
      <c r="C11" s="3" t="s">
        <v>26</v>
      </c>
      <c r="D11" s="39" t="s">
        <v>101</v>
      </c>
      <c r="E11" s="14">
        <v>40000</v>
      </c>
      <c r="F11" s="15"/>
      <c r="G11" s="14">
        <v>40000</v>
      </c>
      <c r="H11" s="46"/>
      <c r="I11" s="95">
        <v>18726.88</v>
      </c>
      <c r="J11" s="15"/>
      <c r="K11" s="14">
        <f t="shared" si="0"/>
        <v>-21273.12</v>
      </c>
      <c r="L11" s="15">
        <f t="shared" si="1"/>
        <v>-0.531828</v>
      </c>
    </row>
    <row r="12" ht="16.5" spans="1:12">
      <c r="A12" s="45"/>
      <c r="B12" s="45"/>
      <c r="C12" s="3" t="s">
        <v>28</v>
      </c>
      <c r="D12" s="39" t="s">
        <v>102</v>
      </c>
      <c r="E12" s="14">
        <v>50000</v>
      </c>
      <c r="F12" s="15"/>
      <c r="G12" s="14">
        <v>50000</v>
      </c>
      <c r="H12" s="46"/>
      <c r="I12" s="95">
        <v>52848</v>
      </c>
      <c r="J12" s="15"/>
      <c r="K12" s="14">
        <f t="shared" si="0"/>
        <v>2848</v>
      </c>
      <c r="L12" s="15">
        <f t="shared" si="1"/>
        <v>0.05696</v>
      </c>
    </row>
    <row r="13" ht="16.5" spans="1:12">
      <c r="A13" s="45"/>
      <c r="B13" s="45"/>
      <c r="C13" s="3" t="s">
        <v>30</v>
      </c>
      <c r="D13" s="39" t="s">
        <v>103</v>
      </c>
      <c r="E13" s="14">
        <v>103500</v>
      </c>
      <c r="F13" s="15"/>
      <c r="G13" s="14">
        <v>103500</v>
      </c>
      <c r="H13" s="14"/>
      <c r="I13" s="14">
        <v>120726.88</v>
      </c>
      <c r="J13" s="15"/>
      <c r="K13" s="14">
        <f t="shared" si="0"/>
        <v>17226.88</v>
      </c>
      <c r="L13" s="15">
        <f t="shared" si="1"/>
        <v>0.166443285024155</v>
      </c>
    </row>
    <row r="14" ht="16.5" spans="1:12">
      <c r="A14" s="45"/>
      <c r="B14" s="45"/>
      <c r="C14" s="3" t="s">
        <v>32</v>
      </c>
      <c r="D14" s="39" t="s">
        <v>104</v>
      </c>
      <c r="E14" s="14"/>
      <c r="F14" s="15"/>
      <c r="G14" s="14"/>
      <c r="H14" s="14"/>
      <c r="I14" s="14"/>
      <c r="J14" s="15"/>
      <c r="K14" s="14">
        <f t="shared" si="0"/>
        <v>0</v>
      </c>
      <c r="L14" s="15" t="e">
        <f t="shared" si="1"/>
        <v>#DIV/0!</v>
      </c>
    </row>
    <row r="15" ht="16.5" spans="1:12">
      <c r="A15" s="45"/>
      <c r="B15" s="45"/>
      <c r="C15" s="3" t="s">
        <v>34</v>
      </c>
      <c r="D15" s="39" t="s">
        <v>105</v>
      </c>
      <c r="E15" s="14"/>
      <c r="F15" s="15"/>
      <c r="G15" s="14"/>
      <c r="H15" s="14"/>
      <c r="I15" s="14"/>
      <c r="J15" s="15"/>
      <c r="K15" s="14">
        <f t="shared" si="0"/>
        <v>0</v>
      </c>
      <c r="L15" s="15" t="e">
        <f t="shared" si="1"/>
        <v>#DIV/0!</v>
      </c>
    </row>
    <row r="16" ht="16.5" spans="1:12">
      <c r="A16" s="45"/>
      <c r="B16" s="45"/>
      <c r="C16" s="47" t="s">
        <v>40</v>
      </c>
      <c r="D16" s="39" t="s">
        <v>106</v>
      </c>
      <c r="E16" s="14">
        <v>500</v>
      </c>
      <c r="F16" s="14"/>
      <c r="G16" s="14">
        <v>500</v>
      </c>
      <c r="H16" s="14"/>
      <c r="I16" s="14">
        <v>500</v>
      </c>
      <c r="J16" s="15"/>
      <c r="K16" s="14">
        <f t="shared" si="0"/>
        <v>0</v>
      </c>
      <c r="L16" s="15">
        <f t="shared" si="1"/>
        <v>0</v>
      </c>
    </row>
    <row r="17" ht="16.5" spans="1:12">
      <c r="A17" s="45"/>
      <c r="B17" s="45"/>
      <c r="C17" s="48" t="s">
        <v>42</v>
      </c>
      <c r="D17" s="39" t="s">
        <v>107</v>
      </c>
      <c r="E17" s="14"/>
      <c r="F17" s="14"/>
      <c r="G17" s="14"/>
      <c r="H17" s="14"/>
      <c r="I17" s="14"/>
      <c r="J17" s="15"/>
      <c r="K17" s="14">
        <f t="shared" si="0"/>
        <v>0</v>
      </c>
      <c r="L17" s="15" t="e">
        <f t="shared" si="1"/>
        <v>#DIV/0!</v>
      </c>
    </row>
    <row r="18" ht="16.5" spans="1:12">
      <c r="A18" s="45"/>
      <c r="B18" s="45"/>
      <c r="C18" s="48" t="s">
        <v>44</v>
      </c>
      <c r="D18" s="39" t="s">
        <v>108</v>
      </c>
      <c r="E18" s="14">
        <v>482.5</v>
      </c>
      <c r="F18" s="14"/>
      <c r="G18" s="14">
        <v>482.5</v>
      </c>
      <c r="H18" s="14"/>
      <c r="I18" s="14">
        <v>482.5</v>
      </c>
      <c r="J18" s="15"/>
      <c r="K18" s="14">
        <f t="shared" si="0"/>
        <v>0</v>
      </c>
      <c r="L18" s="15">
        <f t="shared" si="1"/>
        <v>0</v>
      </c>
    </row>
    <row r="19" ht="39" customHeight="1" spans="1:12">
      <c r="A19" s="49" t="s">
        <v>46</v>
      </c>
      <c r="B19" s="49"/>
      <c r="C19" s="49"/>
      <c r="D19" s="50" t="s">
        <v>18</v>
      </c>
      <c r="E19" s="44">
        <f>SUM(E9:E18)</f>
        <v>584482.5</v>
      </c>
      <c r="F19" s="44"/>
      <c r="G19" s="51">
        <f>SUM(G9:G18)</f>
        <v>584482.5</v>
      </c>
      <c r="H19" s="51"/>
      <c r="I19" s="51">
        <f>SUM(I9:I18)</f>
        <v>506293.71</v>
      </c>
      <c r="J19" s="52"/>
      <c r="K19" s="44">
        <f t="shared" si="0"/>
        <v>-78188.79</v>
      </c>
      <c r="L19" s="52">
        <f t="shared" si="1"/>
        <v>-0.133774390165659</v>
      </c>
    </row>
    <row r="20" ht="16.5" spans="1:12">
      <c r="A20" s="3" t="s">
        <v>61</v>
      </c>
      <c r="B20" s="3"/>
      <c r="C20" s="3" t="s">
        <v>62</v>
      </c>
      <c r="D20" s="39" t="s">
        <v>109</v>
      </c>
      <c r="E20" s="3">
        <v>13</v>
      </c>
      <c r="F20" s="3"/>
      <c r="G20" s="3"/>
      <c r="H20" s="3"/>
      <c r="I20" s="3">
        <v>13</v>
      </c>
      <c r="J20" s="3"/>
      <c r="K20" s="14"/>
      <c r="L20" s="14"/>
    </row>
    <row r="21" ht="16.5" spans="1:12">
      <c r="A21" s="3"/>
      <c r="B21" s="3"/>
      <c r="C21" s="3" t="s">
        <v>64</v>
      </c>
      <c r="D21" s="39" t="s">
        <v>110</v>
      </c>
      <c r="E21" s="3">
        <v>0</v>
      </c>
      <c r="F21" s="3"/>
      <c r="G21" s="3"/>
      <c r="H21" s="3"/>
      <c r="I21" s="3">
        <v>0</v>
      </c>
      <c r="J21" s="3"/>
      <c r="K21" s="14"/>
      <c r="L21" s="14"/>
    </row>
    <row r="22" ht="16.5" spans="1:12">
      <c r="A22" s="3"/>
      <c r="B22" s="3"/>
      <c r="C22" s="3" t="s">
        <v>66</v>
      </c>
      <c r="D22" s="39" t="s">
        <v>111</v>
      </c>
      <c r="E22" s="30">
        <v>13</v>
      </c>
      <c r="F22" s="30"/>
      <c r="G22" s="30"/>
      <c r="H22" s="30"/>
      <c r="I22" s="30">
        <v>13</v>
      </c>
      <c r="J22" s="30"/>
      <c r="K22" s="14"/>
      <c r="L22" s="14"/>
    </row>
    <row r="23" ht="16.5" spans="1:12">
      <c r="A23" s="3" t="s">
        <v>68</v>
      </c>
      <c r="B23" s="3"/>
      <c r="C23" s="3" t="s">
        <v>69</v>
      </c>
      <c r="D23" s="39" t="s">
        <v>112</v>
      </c>
      <c r="E23" s="30">
        <v>1976</v>
      </c>
      <c r="F23" s="30"/>
      <c r="G23" s="30"/>
      <c r="H23" s="30"/>
      <c r="I23" s="30">
        <v>1976</v>
      </c>
      <c r="J23" s="30"/>
      <c r="K23" s="14"/>
      <c r="L23" s="14"/>
    </row>
    <row r="24" ht="16.5" spans="1:12">
      <c r="A24" s="3"/>
      <c r="B24" s="3"/>
      <c r="C24" s="3" t="s">
        <v>71</v>
      </c>
      <c r="D24" s="39" t="s">
        <v>23</v>
      </c>
      <c r="E24" s="30"/>
      <c r="F24" s="30"/>
      <c r="G24" s="30"/>
      <c r="H24" s="30"/>
      <c r="I24" s="30">
        <v>48</v>
      </c>
      <c r="J24" s="30"/>
      <c r="K24" s="14"/>
      <c r="L24" s="14"/>
    </row>
    <row r="25" ht="16.5" spans="1:12">
      <c r="A25" s="3"/>
      <c r="B25" s="3"/>
      <c r="C25" s="3" t="s">
        <v>73</v>
      </c>
      <c r="D25" s="39" t="s">
        <v>113</v>
      </c>
      <c r="E25" s="30"/>
      <c r="F25" s="30"/>
      <c r="G25" s="30"/>
      <c r="H25" s="30"/>
      <c r="I25" s="30">
        <v>2024</v>
      </c>
      <c r="J25" s="30"/>
      <c r="K25" s="14"/>
      <c r="L25" s="14"/>
    </row>
    <row r="26" ht="16.5" spans="1:12">
      <c r="A26" s="10" t="s">
        <v>77</v>
      </c>
      <c r="B26" s="10"/>
      <c r="C26" s="10"/>
      <c r="D26" s="29" t="s">
        <v>78</v>
      </c>
      <c r="E26" s="32"/>
      <c r="F26" s="32"/>
      <c r="G26" s="11"/>
      <c r="H26" s="11"/>
      <c r="I26" s="11"/>
      <c r="J26" s="11"/>
      <c r="K26" s="32"/>
      <c r="L26" s="32"/>
    </row>
    <row r="27" ht="16.5" spans="1:12">
      <c r="A27" s="53"/>
      <c r="B27" s="53"/>
      <c r="C27" s="8"/>
      <c r="D27" s="54" t="s">
        <v>2</v>
      </c>
      <c r="E27" s="2" t="s">
        <v>88</v>
      </c>
      <c r="F27" s="2"/>
      <c r="G27" s="36" t="s">
        <v>89</v>
      </c>
      <c r="H27" s="37"/>
      <c r="I27" s="2" t="s">
        <v>90</v>
      </c>
      <c r="J27" s="2"/>
      <c r="K27" s="2" t="s">
        <v>6</v>
      </c>
      <c r="L27" s="2"/>
    </row>
    <row r="28" ht="22.5" spans="1:12">
      <c r="A28" s="55"/>
      <c r="B28" s="55"/>
      <c r="C28" s="55"/>
      <c r="D28" s="56"/>
      <c r="E28" s="2" t="s">
        <v>91</v>
      </c>
      <c r="F28" s="2" t="s">
        <v>8</v>
      </c>
      <c r="G28" s="2" t="s">
        <v>7</v>
      </c>
      <c r="H28" s="2" t="s">
        <v>8</v>
      </c>
      <c r="I28" s="2" t="s">
        <v>9</v>
      </c>
      <c r="J28" s="2" t="s">
        <v>8</v>
      </c>
      <c r="K28" s="2" t="s">
        <v>10</v>
      </c>
      <c r="L28" s="2" t="s">
        <v>11</v>
      </c>
    </row>
    <row r="29" ht="16.5" spans="1:12">
      <c r="A29" s="45" t="s">
        <v>114</v>
      </c>
      <c r="B29" s="45"/>
      <c r="C29" s="57" t="s">
        <v>115</v>
      </c>
      <c r="D29" s="58" t="s">
        <v>116</v>
      </c>
      <c r="E29" s="59">
        <v>2000000</v>
      </c>
      <c r="F29" s="60"/>
      <c r="G29" s="59">
        <v>2000000</v>
      </c>
      <c r="H29" s="61"/>
      <c r="I29" s="61">
        <v>1773779</v>
      </c>
      <c r="J29" s="60"/>
      <c r="K29" s="60">
        <f>I29-E29</f>
        <v>-226221</v>
      </c>
      <c r="L29" s="62">
        <f>K29/E29</f>
        <v>-0.1131105</v>
      </c>
    </row>
    <row r="30" ht="16.5" spans="1:12">
      <c r="A30" s="45"/>
      <c r="B30" s="45"/>
      <c r="C30" s="63" t="s">
        <v>117</v>
      </c>
      <c r="D30" s="14" t="s">
        <v>118</v>
      </c>
      <c r="E30" s="14">
        <v>1700000</v>
      </c>
      <c r="F30" s="14"/>
      <c r="G30" s="14">
        <v>1700000</v>
      </c>
      <c r="H30" s="27"/>
      <c r="I30" s="27"/>
      <c r="J30" s="15"/>
      <c r="K30" s="60">
        <f t="shared" ref="K30:K35" si="2">I30-E30</f>
        <v>-1700000</v>
      </c>
      <c r="L30" s="15"/>
    </row>
    <row r="31" ht="16.5" spans="1:12">
      <c r="A31" s="45"/>
      <c r="B31" s="45"/>
      <c r="C31" s="63" t="s">
        <v>119</v>
      </c>
      <c r="D31" s="14" t="s">
        <v>120</v>
      </c>
      <c r="E31" s="14">
        <v>100000</v>
      </c>
      <c r="F31" s="14"/>
      <c r="G31" s="14">
        <v>100000</v>
      </c>
      <c r="H31" s="27"/>
      <c r="I31" s="27"/>
      <c r="J31" s="15"/>
      <c r="K31" s="60">
        <f t="shared" si="2"/>
        <v>-100000</v>
      </c>
      <c r="L31" s="15"/>
    </row>
    <row r="32" ht="16.5" spans="1:12">
      <c r="A32" s="45"/>
      <c r="B32" s="45"/>
      <c r="C32" s="63" t="s">
        <v>121</v>
      </c>
      <c r="D32" s="14" t="s">
        <v>122</v>
      </c>
      <c r="E32" s="14">
        <v>100000</v>
      </c>
      <c r="F32" s="14"/>
      <c r="G32" s="14">
        <v>100000</v>
      </c>
      <c r="H32" s="27"/>
      <c r="I32" s="27"/>
      <c r="J32" s="15"/>
      <c r="K32" s="60">
        <f t="shared" si="2"/>
        <v>-100000</v>
      </c>
      <c r="L32" s="15"/>
    </row>
    <row r="33" ht="16.5" spans="1:12">
      <c r="A33" s="45"/>
      <c r="B33" s="45"/>
      <c r="C33" s="63" t="s">
        <v>123</v>
      </c>
      <c r="D33" s="14" t="s">
        <v>124</v>
      </c>
      <c r="E33" s="14">
        <v>2100000</v>
      </c>
      <c r="F33" s="14"/>
      <c r="G33" s="14">
        <v>2100000</v>
      </c>
      <c r="H33" s="27"/>
      <c r="I33" s="27"/>
      <c r="J33" s="15"/>
      <c r="K33" s="60">
        <f t="shared" si="2"/>
        <v>-2100000</v>
      </c>
      <c r="L33" s="15"/>
    </row>
    <row r="34" ht="16.5" spans="1:12">
      <c r="A34" s="45"/>
      <c r="B34" s="45"/>
      <c r="C34" s="64" t="s">
        <v>125</v>
      </c>
      <c r="D34" s="58" t="s">
        <v>126</v>
      </c>
      <c r="E34" s="21">
        <f>SUM(E30:E33)</f>
        <v>4000000</v>
      </c>
      <c r="F34" s="21"/>
      <c r="G34" s="65">
        <f>SUM(G30:G33)</f>
        <v>4000000</v>
      </c>
      <c r="H34" s="65"/>
      <c r="I34" s="65"/>
      <c r="J34" s="66"/>
      <c r="K34" s="60">
        <f t="shared" si="2"/>
        <v>-4000000</v>
      </c>
      <c r="L34" s="66"/>
    </row>
    <row r="35" ht="16.5" spans="1:12">
      <c r="A35" s="45"/>
      <c r="B35" s="45"/>
      <c r="C35" s="64" t="s">
        <v>127</v>
      </c>
      <c r="D35" s="58" t="s">
        <v>128</v>
      </c>
      <c r="E35" s="67">
        <v>30000000</v>
      </c>
      <c r="F35" s="21"/>
      <c r="G35" s="67">
        <v>32000000</v>
      </c>
      <c r="H35" s="65"/>
      <c r="I35" s="67">
        <v>40131725.5</v>
      </c>
      <c r="J35" s="67"/>
      <c r="K35" s="60">
        <f t="shared" si="2"/>
        <v>10131725.5</v>
      </c>
      <c r="L35" s="66"/>
    </row>
    <row r="36" ht="16.5" spans="1:12">
      <c r="A36" s="70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</row>
    <row r="42" ht="14.25" hidden="1"/>
    <row r="43" ht="17.25" hidden="1" spans="1:12">
      <c r="C43" s="73"/>
      <c r="D43" s="74" t="s">
        <v>129</v>
      </c>
      <c r="E43" s="74" t="s">
        <v>130</v>
      </c>
      <c r="F43" s="74" t="s">
        <v>131</v>
      </c>
      <c r="G43" s="74" t="s">
        <v>132</v>
      </c>
      <c r="H43" s="74" t="s">
        <v>133</v>
      </c>
      <c r="I43" s="74" t="s">
        <v>134</v>
      </c>
      <c r="J43" s="74" t="s">
        <v>135</v>
      </c>
      <c r="K43" s="74" t="s">
        <v>136</v>
      </c>
    </row>
    <row r="44" ht="17.25" hidden="1" spans="1:12">
      <c r="C44" s="75" t="s">
        <v>137</v>
      </c>
      <c r="D44" s="76" t="s">
        <v>138</v>
      </c>
      <c r="E44" s="76">
        <v>1160000</v>
      </c>
      <c r="F44" s="76">
        <v>1180000</v>
      </c>
      <c r="G44" s="76">
        <v>1405666.8</v>
      </c>
      <c r="H44" s="77"/>
      <c r="I44" s="76">
        <v>245666.8</v>
      </c>
      <c r="J44" s="77"/>
      <c r="K44" s="77"/>
    </row>
    <row r="45" ht="17.25" hidden="1" spans="1:12">
      <c r="C45" s="75"/>
      <c r="D45" s="78" t="s">
        <v>139</v>
      </c>
      <c r="E45" s="78">
        <v>620000</v>
      </c>
      <c r="F45" s="78">
        <v>630000</v>
      </c>
      <c r="G45" s="78">
        <v>883550</v>
      </c>
      <c r="H45" s="79"/>
      <c r="I45" s="78">
        <v>263550</v>
      </c>
      <c r="J45" s="79"/>
      <c r="K45" s="79"/>
    </row>
    <row r="46" ht="17.25" hidden="1" spans="1:12">
      <c r="C46" s="75"/>
      <c r="D46" s="76" t="s">
        <v>140</v>
      </c>
      <c r="E46" s="76">
        <v>170000</v>
      </c>
      <c r="F46" s="76">
        <v>190000</v>
      </c>
      <c r="G46" s="76">
        <v>222838.22</v>
      </c>
      <c r="H46" s="77"/>
      <c r="I46" s="76">
        <v>52838.22</v>
      </c>
      <c r="J46" s="77"/>
      <c r="K46" s="77"/>
    </row>
    <row r="47" ht="21.75" hidden="1" spans="1:12">
      <c r="C47" s="75"/>
      <c r="D47" s="78" t="s">
        <v>141</v>
      </c>
      <c r="E47" s="80">
        <v>1950000</v>
      </c>
      <c r="F47" s="80">
        <v>2000000</v>
      </c>
      <c r="G47" s="82">
        <v>2490805.02</v>
      </c>
      <c r="H47" s="81"/>
      <c r="I47" s="82">
        <v>540805.02</v>
      </c>
      <c r="J47" s="83"/>
      <c r="K47" s="83"/>
    </row>
    <row r="48" ht="17.25" hidden="1" spans="1:12">
      <c r="C48" s="75" t="s">
        <v>142</v>
      </c>
      <c r="D48" s="76" t="s">
        <v>143</v>
      </c>
      <c r="E48" s="76">
        <v>2365000</v>
      </c>
      <c r="F48" s="76">
        <v>2417000</v>
      </c>
      <c r="G48" s="76">
        <v>2493120.2</v>
      </c>
      <c r="H48" s="77"/>
      <c r="I48" s="76">
        <v>128120.2</v>
      </c>
      <c r="J48" s="77"/>
      <c r="K48" s="77"/>
    </row>
    <row r="49" ht="17.25" hidden="1" spans="3:11">
      <c r="C49" s="75"/>
      <c r="D49" s="78" t="s">
        <v>144</v>
      </c>
      <c r="E49" s="78">
        <v>655000</v>
      </c>
      <c r="F49" s="78">
        <v>615000</v>
      </c>
      <c r="G49" s="78">
        <v>323839.3</v>
      </c>
      <c r="H49" s="79"/>
      <c r="I49" s="78">
        <v>-331160.7</v>
      </c>
      <c r="J49" s="79"/>
      <c r="K49" s="79"/>
    </row>
    <row r="50" ht="17.25" hidden="1" spans="3:11">
      <c r="C50" s="75"/>
      <c r="D50" s="76" t="s">
        <v>145</v>
      </c>
      <c r="E50" s="76">
        <v>463000</v>
      </c>
      <c r="F50" s="76">
        <v>463000</v>
      </c>
      <c r="G50" s="76">
        <v>345797</v>
      </c>
      <c r="H50" s="77"/>
      <c r="I50" s="76">
        <v>-117203</v>
      </c>
      <c r="J50" s="77"/>
      <c r="K50" s="77"/>
    </row>
    <row r="51" ht="17.25" hidden="1" spans="3:11">
      <c r="C51" s="75"/>
      <c r="D51" s="78" t="s">
        <v>146</v>
      </c>
      <c r="E51" s="78">
        <v>190000</v>
      </c>
      <c r="F51" s="78">
        <v>215000</v>
      </c>
      <c r="G51" s="78">
        <v>218900</v>
      </c>
      <c r="H51" s="79"/>
      <c r="I51" s="78">
        <v>28900</v>
      </c>
      <c r="J51" s="79"/>
      <c r="K51" s="79"/>
    </row>
    <row r="52" ht="17.25" hidden="1" spans="3:11">
      <c r="C52" s="75"/>
      <c r="D52" s="76" t="s">
        <v>147</v>
      </c>
      <c r="E52" s="76">
        <v>1260500</v>
      </c>
      <c r="F52" s="76">
        <v>1274900</v>
      </c>
      <c r="G52" s="76">
        <v>1331418.3</v>
      </c>
      <c r="H52" s="77"/>
      <c r="I52" s="76">
        <v>70918.3</v>
      </c>
      <c r="J52" s="77"/>
      <c r="K52" s="77"/>
    </row>
    <row r="53" ht="17.25" hidden="1" spans="3:11">
      <c r="C53" s="75"/>
      <c r="D53" s="84" t="s">
        <v>148</v>
      </c>
      <c r="E53" s="80">
        <v>4933500</v>
      </c>
      <c r="F53" s="80">
        <v>4984900</v>
      </c>
      <c r="G53" s="82">
        <v>4713074.8</v>
      </c>
      <c r="H53" s="81"/>
      <c r="I53" s="82">
        <v>-220425.2</v>
      </c>
      <c r="J53" s="83"/>
      <c r="K53" s="83"/>
    </row>
    <row r="54" ht="14.25" hidden="1" spans="3:11">
      <c r="C54" s="75"/>
      <c r="D54" s="85"/>
      <c r="E54" s="80"/>
      <c r="F54" s="80"/>
      <c r="G54" s="82"/>
      <c r="H54" s="81"/>
      <c r="I54" s="82"/>
      <c r="J54" s="83"/>
      <c r="K54" s="83"/>
    </row>
    <row r="55" ht="17.25" hidden="1" spans="3:11">
      <c r="C55" s="75"/>
      <c r="D55" s="86" t="s">
        <v>149</v>
      </c>
      <c r="E55" s="80"/>
      <c r="F55" s="80"/>
      <c r="G55" s="82"/>
      <c r="H55" s="81"/>
      <c r="I55" s="82"/>
      <c r="J55" s="83"/>
      <c r="K55" s="83"/>
    </row>
    <row r="56" hidden="1"/>
    <row r="57" hidden="1"/>
  </sheetData>
  <mergeCells count="54">
    <mergeCell ref="A1:L1"/>
    <mergeCell ref="E2:L2"/>
    <mergeCell ref="E3:F3"/>
    <mergeCell ref="G3:H3"/>
    <mergeCell ref="I3:J3"/>
    <mergeCell ref="K3:L3"/>
    <mergeCell ref="A5:C5"/>
    <mergeCell ref="A6:C6"/>
    <mergeCell ref="A7:C7"/>
    <mergeCell ref="A8:D8"/>
    <mergeCell ref="A19:C19"/>
    <mergeCell ref="E20:F20"/>
    <mergeCell ref="I20:J20"/>
    <mergeCell ref="K20:L20"/>
    <mergeCell ref="E21:F21"/>
    <mergeCell ref="I21:J21"/>
    <mergeCell ref="K21:L21"/>
    <mergeCell ref="E22:F22"/>
    <mergeCell ref="I22:J22"/>
    <mergeCell ref="K22:L22"/>
    <mergeCell ref="E23:F23"/>
    <mergeCell ref="I23:J23"/>
    <mergeCell ref="K23:L23"/>
    <mergeCell ref="E24:F24"/>
    <mergeCell ref="I24:J24"/>
    <mergeCell ref="K24:L24"/>
    <mergeCell ref="E25:F25"/>
    <mergeCell ref="I25:J25"/>
    <mergeCell ref="K25:L25"/>
    <mergeCell ref="A26:C26"/>
    <mergeCell ref="E26:F26"/>
    <mergeCell ref="I26:J26"/>
    <mergeCell ref="K26:L26"/>
    <mergeCell ref="E27:F27"/>
    <mergeCell ref="G27:H27"/>
    <mergeCell ref="I27:J27"/>
    <mergeCell ref="K27:L27"/>
    <mergeCell ref="A36:L36"/>
    <mergeCell ref="C44:C47"/>
    <mergeCell ref="C48:C55"/>
    <mergeCell ref="D2:D4"/>
    <mergeCell ref="D27:D28"/>
    <mergeCell ref="E53:E55"/>
    <mergeCell ref="F53:F55"/>
    <mergeCell ref="G53:G55"/>
    <mergeCell ref="H53:H55"/>
    <mergeCell ref="I53:I55"/>
    <mergeCell ref="J53:J55"/>
    <mergeCell ref="K53:K55"/>
    <mergeCell ref="A2:C4"/>
    <mergeCell ref="A9:B18"/>
    <mergeCell ref="A23:B25"/>
    <mergeCell ref="A20:B22"/>
    <mergeCell ref="A29:B35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workbookViewId="0">
      <selection activeCell="G51" sqref="G51"/>
    </sheetView>
  </sheetViews>
  <sheetFormatPr defaultColWidth="9" defaultRowHeight="13.5"/>
  <cols>
    <col min="3" max="3" width="17.375" customWidth="1"/>
    <col min="5" max="5" width="18.375" customWidth="1"/>
    <col min="6" max="6" width="18.125" customWidth="1"/>
    <col min="7" max="7" width="18.375" customWidth="1"/>
    <col min="8" max="8" width="18.25" customWidth="1"/>
    <col min="9" max="11" width="18" customWidth="1"/>
    <col min="12" max="12" width="17.5" customWidth="1"/>
  </cols>
  <sheetData>
    <row r="1" ht="22.5" spans="1:12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6.5" spans="1:12">
      <c r="A2" s="2" t="s">
        <v>1</v>
      </c>
      <c r="B2" s="2"/>
      <c r="C2" s="2"/>
      <c r="D2" s="2" t="s">
        <v>2</v>
      </c>
      <c r="E2" s="2" t="s">
        <v>3</v>
      </c>
      <c r="F2" s="2"/>
      <c r="G2" s="2"/>
      <c r="H2" s="2"/>
      <c r="I2" s="2"/>
      <c r="J2" s="2"/>
      <c r="K2" s="2"/>
      <c r="L2" s="2"/>
    </row>
    <row r="3" ht="16.5" spans="1:12">
      <c r="A3" s="2"/>
      <c r="B3" s="2"/>
      <c r="C3" s="2"/>
      <c r="D3" s="2"/>
      <c r="E3" s="2" t="s">
        <v>88</v>
      </c>
      <c r="F3" s="2"/>
      <c r="G3" s="36" t="s">
        <v>89</v>
      </c>
      <c r="H3" s="37"/>
      <c r="I3" s="2" t="s">
        <v>90</v>
      </c>
      <c r="J3" s="2"/>
      <c r="K3" s="2" t="s">
        <v>6</v>
      </c>
      <c r="L3" s="2"/>
    </row>
    <row r="4" ht="16.5" spans="1:12">
      <c r="A4" s="2"/>
      <c r="B4" s="2"/>
      <c r="C4" s="2"/>
      <c r="D4" s="2"/>
      <c r="E4" s="2" t="s">
        <v>91</v>
      </c>
      <c r="F4" s="2" t="s">
        <v>8</v>
      </c>
      <c r="G4" s="2" t="s">
        <v>7</v>
      </c>
      <c r="H4" s="2" t="s">
        <v>8</v>
      </c>
      <c r="I4" s="2" t="s">
        <v>9</v>
      </c>
      <c r="J4" s="2" t="s">
        <v>8</v>
      </c>
      <c r="K4" s="2" t="s">
        <v>10</v>
      </c>
      <c r="L4" s="2" t="s">
        <v>11</v>
      </c>
    </row>
    <row r="5" ht="16.5" spans="1:12">
      <c r="A5" s="36" t="s">
        <v>92</v>
      </c>
      <c r="B5" s="38"/>
      <c r="C5" s="37"/>
      <c r="D5" s="39" t="s">
        <v>93</v>
      </c>
      <c r="E5" s="40">
        <v>110000</v>
      </c>
      <c r="F5" s="2"/>
      <c r="G5" s="40">
        <v>140000</v>
      </c>
      <c r="H5" s="41"/>
      <c r="I5" s="41">
        <v>184400</v>
      </c>
      <c r="J5" s="2"/>
      <c r="K5" s="2">
        <f>I5-G5</f>
        <v>44400</v>
      </c>
      <c r="L5" s="6"/>
    </row>
    <row r="6" ht="16.5" spans="1:12">
      <c r="A6" s="36" t="s">
        <v>94</v>
      </c>
      <c r="B6" s="38"/>
      <c r="C6" s="37"/>
      <c r="D6" s="39" t="s">
        <v>95</v>
      </c>
      <c r="E6" s="40">
        <v>50000</v>
      </c>
      <c r="F6" s="2"/>
      <c r="G6" s="40">
        <v>80000</v>
      </c>
      <c r="H6" s="41"/>
      <c r="I6" s="41">
        <v>104851.76</v>
      </c>
      <c r="J6" s="2"/>
      <c r="K6" s="2">
        <f>I6-G6</f>
        <v>24851.76</v>
      </c>
      <c r="L6" s="6"/>
    </row>
    <row r="7" ht="16.5" spans="1:12">
      <c r="A7" s="36" t="s">
        <v>96</v>
      </c>
      <c r="B7" s="38"/>
      <c r="C7" s="37"/>
      <c r="D7" s="39" t="s">
        <v>97</v>
      </c>
      <c r="E7" s="40">
        <v>20000</v>
      </c>
      <c r="F7" s="2"/>
      <c r="G7" s="40">
        <v>20000</v>
      </c>
      <c r="H7" s="41"/>
      <c r="I7" s="41">
        <v>123505</v>
      </c>
      <c r="J7" s="2"/>
      <c r="K7" s="2">
        <f>I7-G7</f>
        <v>103505</v>
      </c>
      <c r="L7" s="6"/>
    </row>
    <row r="8" ht="22.5" spans="1:12">
      <c r="A8" s="42" t="s">
        <v>98</v>
      </c>
      <c r="B8" s="43"/>
      <c r="C8" s="43"/>
      <c r="D8" s="43"/>
      <c r="E8" s="44">
        <f t="shared" ref="E8:I8" si="0">SUM(E5:E7)</f>
        <v>180000</v>
      </c>
      <c r="F8" s="12"/>
      <c r="G8" s="44">
        <f t="shared" si="0"/>
        <v>240000</v>
      </c>
      <c r="H8" s="10"/>
      <c r="I8" s="44">
        <f t="shared" si="0"/>
        <v>412756.76</v>
      </c>
      <c r="J8" s="12"/>
      <c r="K8" s="11">
        <f>I8-G8</f>
        <v>172756.76</v>
      </c>
      <c r="L8" s="12"/>
    </row>
    <row r="9" ht="16.5" spans="1:12">
      <c r="A9" s="45" t="s">
        <v>21</v>
      </c>
      <c r="B9" s="45"/>
      <c r="C9" s="3" t="s">
        <v>22</v>
      </c>
      <c r="D9" s="39" t="s">
        <v>99</v>
      </c>
      <c r="E9" s="14">
        <v>280000</v>
      </c>
      <c r="F9" s="15"/>
      <c r="G9" s="14">
        <v>280000</v>
      </c>
      <c r="H9" s="46"/>
      <c r="I9" s="46">
        <v>310138.44</v>
      </c>
      <c r="J9" s="15"/>
      <c r="K9" s="14">
        <f t="shared" ref="K9:K19" si="1">I9-E9</f>
        <v>30138.44</v>
      </c>
      <c r="L9" s="15">
        <f t="shared" ref="L9:L19" si="2">K9/E9</f>
        <v>0.107637285714286</v>
      </c>
    </row>
    <row r="10" ht="16.5" spans="1:12">
      <c r="A10" s="45"/>
      <c r="B10" s="45"/>
      <c r="C10" s="3" t="s">
        <v>24</v>
      </c>
      <c r="D10" s="39" t="s">
        <v>100</v>
      </c>
      <c r="E10" s="14">
        <v>115000</v>
      </c>
      <c r="F10" s="15"/>
      <c r="G10" s="14">
        <v>105000</v>
      </c>
      <c r="H10" s="46"/>
      <c r="I10" s="46">
        <v>43100.5</v>
      </c>
      <c r="J10" s="15"/>
      <c r="K10" s="14">
        <f t="shared" si="1"/>
        <v>-71899.5</v>
      </c>
      <c r="L10" s="15">
        <f t="shared" si="2"/>
        <v>-0.625213043478261</v>
      </c>
    </row>
    <row r="11" ht="16.5" spans="1:12">
      <c r="A11" s="45"/>
      <c r="B11" s="45"/>
      <c r="C11" s="3" t="s">
        <v>26</v>
      </c>
      <c r="D11" s="39" t="s">
        <v>101</v>
      </c>
      <c r="E11" s="14">
        <v>30000</v>
      </c>
      <c r="F11" s="15"/>
      <c r="G11" s="14">
        <v>20000</v>
      </c>
      <c r="H11" s="46"/>
      <c r="I11" s="46">
        <v>8403.33</v>
      </c>
      <c r="J11" s="15"/>
      <c r="K11" s="14">
        <f t="shared" si="1"/>
        <v>-21596.67</v>
      </c>
      <c r="L11" s="15">
        <f t="shared" si="2"/>
        <v>-0.719889</v>
      </c>
    </row>
    <row r="12" ht="16.5" spans="1:12">
      <c r="A12" s="45"/>
      <c r="B12" s="45"/>
      <c r="C12" s="3" t="s">
        <v>28</v>
      </c>
      <c r="D12" s="39" t="s">
        <v>102</v>
      </c>
      <c r="E12" s="14">
        <v>20000</v>
      </c>
      <c r="F12" s="15"/>
      <c r="G12" s="14">
        <v>20000</v>
      </c>
      <c r="H12" s="46"/>
      <c r="I12" s="46">
        <v>72333.9</v>
      </c>
      <c r="J12" s="15"/>
      <c r="K12" s="14">
        <f t="shared" si="1"/>
        <v>52333.9</v>
      </c>
      <c r="L12" s="15">
        <f t="shared" si="2"/>
        <v>2.616695</v>
      </c>
    </row>
    <row r="13" ht="16.5" spans="1:12">
      <c r="A13" s="45"/>
      <c r="B13" s="45"/>
      <c r="C13" s="3" t="s">
        <v>30</v>
      </c>
      <c r="D13" s="39" t="s">
        <v>103</v>
      </c>
      <c r="E13" s="14">
        <v>143400</v>
      </c>
      <c r="F13" s="15"/>
      <c r="G13" s="14">
        <v>143400</v>
      </c>
      <c r="H13" s="14"/>
      <c r="I13" s="14">
        <v>123928.59</v>
      </c>
      <c r="J13" s="15"/>
      <c r="K13" s="14">
        <f t="shared" si="1"/>
        <v>-19471.41</v>
      </c>
      <c r="L13" s="15">
        <f t="shared" si="2"/>
        <v>-0.135783891213389</v>
      </c>
    </row>
    <row r="14" ht="16.5" spans="1:12">
      <c r="A14" s="45"/>
      <c r="B14" s="45"/>
      <c r="C14" s="3" t="s">
        <v>32</v>
      </c>
      <c r="D14" s="39" t="s">
        <v>104</v>
      </c>
      <c r="E14" s="14"/>
      <c r="F14" s="15"/>
      <c r="G14" s="14"/>
      <c r="H14" s="14"/>
      <c r="I14" s="14"/>
      <c r="J14" s="15"/>
      <c r="K14" s="14">
        <f t="shared" si="1"/>
        <v>0</v>
      </c>
      <c r="L14" s="15" t="e">
        <f t="shared" si="2"/>
        <v>#DIV/0!</v>
      </c>
    </row>
    <row r="15" ht="16.5" spans="1:12">
      <c r="A15" s="45"/>
      <c r="B15" s="45"/>
      <c r="C15" s="3" t="s">
        <v>34</v>
      </c>
      <c r="D15" s="39" t="s">
        <v>105</v>
      </c>
      <c r="E15" s="14"/>
      <c r="F15" s="15"/>
      <c r="G15" s="14"/>
      <c r="H15" s="14"/>
      <c r="I15" s="14"/>
      <c r="J15" s="15"/>
      <c r="K15" s="14">
        <f t="shared" si="1"/>
        <v>0</v>
      </c>
      <c r="L15" s="15" t="e">
        <f t="shared" si="2"/>
        <v>#DIV/0!</v>
      </c>
    </row>
    <row r="16" ht="16.5" spans="1:12">
      <c r="A16" s="45"/>
      <c r="B16" s="45"/>
      <c r="C16" s="47" t="s">
        <v>40</v>
      </c>
      <c r="D16" s="39" t="s">
        <v>106</v>
      </c>
      <c r="E16" s="14">
        <v>500</v>
      </c>
      <c r="F16" s="14"/>
      <c r="G16" s="14">
        <v>500</v>
      </c>
      <c r="H16" s="14"/>
      <c r="I16" s="14">
        <v>500</v>
      </c>
      <c r="J16" s="15"/>
      <c r="K16" s="14">
        <f t="shared" si="1"/>
        <v>0</v>
      </c>
      <c r="L16" s="15">
        <f t="shared" si="2"/>
        <v>0</v>
      </c>
    </row>
    <row r="17" ht="16.5" spans="1:12">
      <c r="A17" s="45"/>
      <c r="B17" s="45"/>
      <c r="C17" s="48" t="s">
        <v>42</v>
      </c>
      <c r="D17" s="39" t="s">
        <v>107</v>
      </c>
      <c r="E17" s="14"/>
      <c r="F17" s="14"/>
      <c r="G17" s="14"/>
      <c r="H17" s="14"/>
      <c r="I17" s="14"/>
      <c r="J17" s="15"/>
      <c r="K17" s="14">
        <f t="shared" si="1"/>
        <v>0</v>
      </c>
      <c r="L17" s="15" t="e">
        <f t="shared" si="2"/>
        <v>#DIV/0!</v>
      </c>
    </row>
    <row r="18" ht="16.5" spans="1:12">
      <c r="A18" s="45"/>
      <c r="B18" s="45"/>
      <c r="C18" s="48" t="s">
        <v>44</v>
      </c>
      <c r="D18" s="39" t="s">
        <v>108</v>
      </c>
      <c r="E18" s="14">
        <v>482.5</v>
      </c>
      <c r="F18" s="14"/>
      <c r="G18" s="14">
        <v>482.5</v>
      </c>
      <c r="H18" s="14"/>
      <c r="I18" s="14">
        <v>482.5</v>
      </c>
      <c r="J18" s="15"/>
      <c r="K18" s="14">
        <f t="shared" si="1"/>
        <v>0</v>
      </c>
      <c r="L18" s="15">
        <f t="shared" si="2"/>
        <v>0</v>
      </c>
    </row>
    <row r="19" ht="22.5" spans="1:12">
      <c r="A19" s="49" t="s">
        <v>46</v>
      </c>
      <c r="B19" s="49"/>
      <c r="C19" s="49"/>
      <c r="D19" s="50" t="s">
        <v>18</v>
      </c>
      <c r="E19" s="44">
        <f t="shared" ref="E19:I19" si="3">SUM(E9:E18)</f>
        <v>589382.5</v>
      </c>
      <c r="F19" s="44"/>
      <c r="G19" s="51">
        <f t="shared" si="3"/>
        <v>569382.5</v>
      </c>
      <c r="H19" s="51"/>
      <c r="I19" s="51">
        <f t="shared" si="3"/>
        <v>558887.26</v>
      </c>
      <c r="J19" s="52"/>
      <c r="K19" s="44">
        <f t="shared" si="1"/>
        <v>-30495.24</v>
      </c>
      <c r="L19" s="52">
        <f t="shared" si="2"/>
        <v>-0.0517410001145266</v>
      </c>
    </row>
    <row r="20" ht="16.5" spans="1:12">
      <c r="A20" s="3" t="s">
        <v>61</v>
      </c>
      <c r="B20" s="3"/>
      <c r="C20" s="3" t="s">
        <v>62</v>
      </c>
      <c r="D20" s="39" t="s">
        <v>109</v>
      </c>
      <c r="E20" s="3">
        <v>13</v>
      </c>
      <c r="F20" s="3"/>
      <c r="G20" s="3"/>
      <c r="H20" s="3"/>
      <c r="I20" s="3">
        <v>13</v>
      </c>
      <c r="J20" s="3"/>
      <c r="K20" s="14"/>
      <c r="L20" s="14"/>
    </row>
    <row r="21" ht="16.5" spans="1:12">
      <c r="A21" s="3"/>
      <c r="B21" s="3"/>
      <c r="C21" s="3" t="s">
        <v>64</v>
      </c>
      <c r="D21" s="39" t="s">
        <v>110</v>
      </c>
      <c r="E21" s="3">
        <v>0</v>
      </c>
      <c r="F21" s="3"/>
      <c r="G21" s="3"/>
      <c r="H21" s="3"/>
      <c r="I21" s="3">
        <v>0</v>
      </c>
      <c r="J21" s="3"/>
      <c r="K21" s="14"/>
      <c r="L21" s="14"/>
    </row>
    <row r="22" ht="16.5" spans="1:12">
      <c r="A22" s="3"/>
      <c r="B22" s="3"/>
      <c r="C22" s="3" t="s">
        <v>66</v>
      </c>
      <c r="D22" s="39" t="s">
        <v>111</v>
      </c>
      <c r="E22" s="30">
        <v>13</v>
      </c>
      <c r="F22" s="30"/>
      <c r="G22" s="30"/>
      <c r="H22" s="30"/>
      <c r="I22" s="30">
        <v>13</v>
      </c>
      <c r="J22" s="30"/>
      <c r="K22" s="14"/>
      <c r="L22" s="14"/>
    </row>
    <row r="23" ht="16.5" spans="1:12">
      <c r="A23" s="3" t="s">
        <v>68</v>
      </c>
      <c r="B23" s="3"/>
      <c r="C23" s="3" t="s">
        <v>69</v>
      </c>
      <c r="D23" s="39" t="s">
        <v>112</v>
      </c>
      <c r="E23" s="30"/>
      <c r="F23" s="30"/>
      <c r="G23" s="30"/>
      <c r="H23" s="30"/>
      <c r="I23" s="30">
        <v>2080</v>
      </c>
      <c r="J23" s="30"/>
      <c r="K23" s="14"/>
      <c r="L23" s="14"/>
    </row>
    <row r="24" ht="16.5" spans="1:12">
      <c r="A24" s="3"/>
      <c r="B24" s="3"/>
      <c r="C24" s="3" t="s">
        <v>71</v>
      </c>
      <c r="D24" s="39" t="s">
        <v>23</v>
      </c>
      <c r="E24" s="30"/>
      <c r="F24" s="30"/>
      <c r="G24" s="30"/>
      <c r="H24" s="30"/>
      <c r="I24" s="30">
        <v>144</v>
      </c>
      <c r="J24" s="30"/>
      <c r="K24" s="14"/>
      <c r="L24" s="14"/>
    </row>
    <row r="25" ht="16.5" spans="1:12">
      <c r="A25" s="3"/>
      <c r="B25" s="3"/>
      <c r="C25" s="3" t="s">
        <v>73</v>
      </c>
      <c r="D25" s="39" t="s">
        <v>113</v>
      </c>
      <c r="E25" s="30"/>
      <c r="F25" s="30"/>
      <c r="G25" s="30"/>
      <c r="H25" s="30"/>
      <c r="I25" s="30">
        <v>2224</v>
      </c>
      <c r="J25" s="30"/>
      <c r="K25" s="14"/>
      <c r="L25" s="14"/>
    </row>
    <row r="26" ht="16.5" spans="1:12">
      <c r="A26" s="10" t="s">
        <v>77</v>
      </c>
      <c r="B26" s="10"/>
      <c r="C26" s="10"/>
      <c r="D26" s="29" t="s">
        <v>78</v>
      </c>
      <c r="E26" s="32"/>
      <c r="F26" s="32"/>
      <c r="G26" s="11"/>
      <c r="H26" s="11"/>
      <c r="I26" s="11"/>
      <c r="J26" s="11"/>
      <c r="K26" s="32"/>
      <c r="L26" s="32"/>
    </row>
    <row r="27" ht="16.5" spans="1:12">
      <c r="A27" s="53"/>
      <c r="B27" s="53"/>
      <c r="C27" s="8"/>
      <c r="D27" s="54" t="s">
        <v>2</v>
      </c>
      <c r="E27" s="2" t="s">
        <v>88</v>
      </c>
      <c r="F27" s="2"/>
      <c r="G27" s="36" t="s">
        <v>89</v>
      </c>
      <c r="H27" s="37"/>
      <c r="I27" s="2" t="s">
        <v>90</v>
      </c>
      <c r="J27" s="2"/>
      <c r="K27" s="2" t="s">
        <v>6</v>
      </c>
      <c r="L27" s="2"/>
    </row>
    <row r="28" ht="22.5" spans="1:12">
      <c r="A28" s="55"/>
      <c r="B28" s="55"/>
      <c r="C28" s="55"/>
      <c r="D28" s="56"/>
      <c r="E28" s="2" t="s">
        <v>91</v>
      </c>
      <c r="F28" s="2" t="s">
        <v>8</v>
      </c>
      <c r="G28" s="2" t="s">
        <v>7</v>
      </c>
      <c r="H28" s="2" t="s">
        <v>8</v>
      </c>
      <c r="I28" s="2" t="s">
        <v>9</v>
      </c>
      <c r="J28" s="2" t="s">
        <v>8</v>
      </c>
      <c r="K28" s="2" t="s">
        <v>10</v>
      </c>
      <c r="L28" s="2" t="s">
        <v>11</v>
      </c>
    </row>
    <row r="29" ht="16.5" spans="1:12">
      <c r="A29" s="45" t="s">
        <v>114</v>
      </c>
      <c r="B29" s="45"/>
      <c r="C29" s="57" t="s">
        <v>115</v>
      </c>
      <c r="D29" s="58" t="s">
        <v>116</v>
      </c>
      <c r="E29" s="59">
        <v>1700000</v>
      </c>
      <c r="F29" s="60"/>
      <c r="G29" s="59">
        <v>1700000</v>
      </c>
      <c r="H29" s="61"/>
      <c r="I29" s="61">
        <v>1405028</v>
      </c>
      <c r="J29" s="60"/>
      <c r="K29" s="60">
        <f>I29-E29</f>
        <v>-294972</v>
      </c>
      <c r="L29" s="62">
        <f>K29/E29</f>
        <v>-0.173512941176471</v>
      </c>
    </row>
    <row r="30" ht="16.5" spans="1:12">
      <c r="A30" s="45"/>
      <c r="B30" s="45"/>
      <c r="C30" s="63" t="s">
        <v>117</v>
      </c>
      <c r="D30" s="14" t="s">
        <v>118</v>
      </c>
      <c r="E30" s="14">
        <v>1050000</v>
      </c>
      <c r="F30" s="14"/>
      <c r="G30" s="14">
        <v>1050000</v>
      </c>
      <c r="H30" s="27"/>
      <c r="I30" s="27">
        <v>1538000</v>
      </c>
      <c r="J30" s="15"/>
      <c r="K30" s="14">
        <f t="shared" ref="K30:K35" si="4">I30-G30</f>
        <v>488000</v>
      </c>
      <c r="L30" s="15"/>
    </row>
    <row r="31" ht="16.5" spans="1:12">
      <c r="A31" s="45"/>
      <c r="B31" s="45"/>
      <c r="C31" s="63" t="s">
        <v>119</v>
      </c>
      <c r="D31" s="14" t="s">
        <v>120</v>
      </c>
      <c r="E31" s="14">
        <v>100000</v>
      </c>
      <c r="F31" s="14"/>
      <c r="G31" s="14">
        <v>100000</v>
      </c>
      <c r="H31" s="27"/>
      <c r="I31" s="27">
        <v>151000</v>
      </c>
      <c r="J31" s="15"/>
      <c r="K31" s="14">
        <f t="shared" si="4"/>
        <v>51000</v>
      </c>
      <c r="L31" s="15"/>
    </row>
    <row r="32" ht="16.5" spans="1:12">
      <c r="A32" s="45"/>
      <c r="B32" s="45"/>
      <c r="C32" s="63" t="s">
        <v>121</v>
      </c>
      <c r="D32" s="14" t="s">
        <v>122</v>
      </c>
      <c r="E32" s="14">
        <v>50000</v>
      </c>
      <c r="F32" s="14"/>
      <c r="G32" s="14">
        <v>50000</v>
      </c>
      <c r="H32" s="27"/>
      <c r="I32" s="27">
        <v>275800</v>
      </c>
      <c r="J32" s="15"/>
      <c r="K32" s="14">
        <f t="shared" si="4"/>
        <v>225800</v>
      </c>
      <c r="L32" s="15"/>
    </row>
    <row r="33" ht="16.5" spans="1:12">
      <c r="A33" s="45"/>
      <c r="B33" s="45"/>
      <c r="C33" s="63" t="s">
        <v>123</v>
      </c>
      <c r="D33" s="14" t="s">
        <v>124</v>
      </c>
      <c r="E33" s="14">
        <v>1300000</v>
      </c>
      <c r="F33" s="14"/>
      <c r="G33" s="14">
        <v>1300000</v>
      </c>
      <c r="H33" s="27"/>
      <c r="I33" s="27">
        <v>1608000</v>
      </c>
      <c r="J33" s="15"/>
      <c r="K33" s="14">
        <f t="shared" si="4"/>
        <v>308000</v>
      </c>
      <c r="L33" s="15"/>
    </row>
    <row r="34" ht="16.5" spans="1:12">
      <c r="A34" s="45"/>
      <c r="B34" s="45"/>
      <c r="C34" s="64" t="s">
        <v>125</v>
      </c>
      <c r="D34" s="58" t="s">
        <v>126</v>
      </c>
      <c r="E34" s="21">
        <f>SUM(E30:E33)</f>
        <v>2500000</v>
      </c>
      <c r="F34" s="21"/>
      <c r="G34" s="65">
        <f>SUM(G30:G33)</f>
        <v>2500000</v>
      </c>
      <c r="H34" s="65"/>
      <c r="I34" s="65">
        <f>SUM(I30:I33)</f>
        <v>3572800</v>
      </c>
      <c r="J34" s="66"/>
      <c r="K34" s="21">
        <f t="shared" si="4"/>
        <v>1072800</v>
      </c>
      <c r="L34" s="66"/>
    </row>
    <row r="35" ht="16.5" spans="1:12">
      <c r="A35" s="45"/>
      <c r="B35" s="45"/>
      <c r="C35" s="64" t="s">
        <v>127</v>
      </c>
      <c r="D35" s="58" t="s">
        <v>128</v>
      </c>
      <c r="E35" s="67">
        <v>23000000</v>
      </c>
      <c r="F35" s="21"/>
      <c r="G35" s="67">
        <v>23000000</v>
      </c>
      <c r="H35" s="65"/>
      <c r="I35" s="61">
        <v>32550771.4</v>
      </c>
      <c r="J35" s="66"/>
      <c r="K35" s="21">
        <f t="shared" si="4"/>
        <v>9550771.4</v>
      </c>
      <c r="L35" s="66"/>
    </row>
    <row r="36" ht="16.5" spans="1:12">
      <c r="A36" s="70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</row>
  </sheetData>
  <mergeCells count="45">
    <mergeCell ref="A1:L1"/>
    <mergeCell ref="E2:L2"/>
    <mergeCell ref="E3:F3"/>
    <mergeCell ref="G3:H3"/>
    <mergeCell ref="I3:J3"/>
    <mergeCell ref="K3:L3"/>
    <mergeCell ref="A5:C5"/>
    <mergeCell ref="A6:C6"/>
    <mergeCell ref="A7:C7"/>
    <mergeCell ref="A8:D8"/>
    <mergeCell ref="A19:C19"/>
    <mergeCell ref="E20:F20"/>
    <mergeCell ref="I20:J20"/>
    <mergeCell ref="K20:L20"/>
    <mergeCell ref="E21:F21"/>
    <mergeCell ref="I21:J21"/>
    <mergeCell ref="K21:L21"/>
    <mergeCell ref="E22:F22"/>
    <mergeCell ref="I22:J22"/>
    <mergeCell ref="K22:L22"/>
    <mergeCell ref="E23:F23"/>
    <mergeCell ref="I23:J23"/>
    <mergeCell ref="K23:L23"/>
    <mergeCell ref="E24:F24"/>
    <mergeCell ref="I24:J24"/>
    <mergeCell ref="K24:L24"/>
    <mergeCell ref="E25:F25"/>
    <mergeCell ref="I25:J25"/>
    <mergeCell ref="K25:L25"/>
    <mergeCell ref="A26:C26"/>
    <mergeCell ref="E26:F26"/>
    <mergeCell ref="I26:J26"/>
    <mergeCell ref="K26:L26"/>
    <mergeCell ref="E27:F27"/>
    <mergeCell ref="G27:H27"/>
    <mergeCell ref="I27:J27"/>
    <mergeCell ref="K27:L27"/>
    <mergeCell ref="A36:L36"/>
    <mergeCell ref="D2:D4"/>
    <mergeCell ref="D27:D28"/>
    <mergeCell ref="A2:C4"/>
    <mergeCell ref="A9:B18"/>
    <mergeCell ref="A20:B22"/>
    <mergeCell ref="A23:B25"/>
    <mergeCell ref="A29:B35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workbookViewId="0">
      <selection activeCell="I24" sqref="I24:J24"/>
    </sheetView>
  </sheetViews>
  <sheetFormatPr defaultColWidth="9" defaultRowHeight="13.5"/>
  <cols>
    <col min="3" max="3" width="14.625" customWidth="1"/>
    <col min="5" max="5" width="23.375" customWidth="1"/>
    <col min="7" max="7" width="22.875" customWidth="1"/>
    <col min="9" max="9" width="28.625" customWidth="1"/>
    <col min="11" max="11" width="11.125"/>
    <col min="14" max="14" width="23.25" customWidth="1"/>
  </cols>
  <sheetData>
    <row r="1" ht="22.5" spans="1:18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6.5" spans="1:18">
      <c r="A2" s="2" t="s">
        <v>1</v>
      </c>
      <c r="B2" s="2"/>
      <c r="C2" s="2"/>
      <c r="D2" s="2" t="s">
        <v>2</v>
      </c>
      <c r="E2" s="2" t="s">
        <v>3</v>
      </c>
      <c r="F2" s="2"/>
      <c r="G2" s="2"/>
      <c r="H2" s="2"/>
      <c r="I2" s="2"/>
      <c r="J2" s="2"/>
      <c r="K2" s="2"/>
      <c r="L2" s="2"/>
    </row>
    <row r="3" ht="16.5" spans="1:18">
      <c r="A3" s="2"/>
      <c r="B3" s="2"/>
      <c r="C3" s="2"/>
      <c r="D3" s="2"/>
      <c r="E3" s="2" t="s">
        <v>88</v>
      </c>
      <c r="F3" s="2"/>
      <c r="G3" s="36" t="s">
        <v>89</v>
      </c>
      <c r="H3" s="37"/>
      <c r="I3" s="2" t="s">
        <v>90</v>
      </c>
      <c r="J3" s="2"/>
      <c r="K3" s="2" t="s">
        <v>6</v>
      </c>
      <c r="L3" s="2"/>
    </row>
    <row r="4" ht="16.5" spans="1:18">
      <c r="A4" s="2"/>
      <c r="B4" s="2"/>
      <c r="C4" s="2"/>
      <c r="D4" s="2"/>
      <c r="E4" s="2" t="s">
        <v>91</v>
      </c>
      <c r="F4" s="2" t="s">
        <v>8</v>
      </c>
      <c r="G4" s="2" t="s">
        <v>7</v>
      </c>
      <c r="H4" s="2" t="s">
        <v>8</v>
      </c>
      <c r="I4" s="2" t="s">
        <v>9</v>
      </c>
      <c r="J4" s="2" t="s">
        <v>8</v>
      </c>
      <c r="K4" s="2" t="s">
        <v>10</v>
      </c>
      <c r="L4" s="2" t="s">
        <v>11</v>
      </c>
      <c r="N4" t="s">
        <v>152</v>
      </c>
      <c r="P4" t="s">
        <v>153</v>
      </c>
      <c r="R4" t="s">
        <v>154</v>
      </c>
    </row>
    <row r="5" ht="16.5" spans="1:18">
      <c r="A5" s="36" t="s">
        <v>92</v>
      </c>
      <c r="B5" s="38"/>
      <c r="C5" s="37"/>
      <c r="D5" s="39" t="s">
        <v>93</v>
      </c>
      <c r="E5" s="40">
        <v>100000</v>
      </c>
      <c r="F5" s="2"/>
      <c r="G5" s="40">
        <v>100000</v>
      </c>
      <c r="H5" s="41"/>
      <c r="I5" s="41">
        <f>M5-N5</f>
        <v>-108388.94</v>
      </c>
      <c r="J5" s="2"/>
      <c r="K5" s="2">
        <f>I5-G5</f>
        <v>-208388.94</v>
      </c>
      <c r="L5" s="6"/>
      <c r="M5">
        <f>P5-R5</f>
        <v>21833.4</v>
      </c>
      <c r="N5">
        <v>130222.34</v>
      </c>
      <c r="P5">
        <v>81833.4</v>
      </c>
      <c r="R5">
        <v>60000</v>
      </c>
    </row>
    <row r="6" ht="16.5" spans="1:18">
      <c r="A6" s="36" t="s">
        <v>94</v>
      </c>
      <c r="B6" s="38"/>
      <c r="C6" s="37"/>
      <c r="D6" s="39" t="s">
        <v>95</v>
      </c>
      <c r="E6" s="40">
        <v>60000</v>
      </c>
      <c r="F6" s="2"/>
      <c r="G6" s="40">
        <v>60000</v>
      </c>
      <c r="H6" s="41"/>
      <c r="I6" s="41">
        <f>M6-N6</f>
        <v>-182283.09</v>
      </c>
      <c r="J6" s="2"/>
      <c r="K6" s="2">
        <f>I6-G6</f>
        <v>-242283.09</v>
      </c>
      <c r="L6" s="6"/>
      <c r="M6">
        <f>P6-R6</f>
        <v>-61100</v>
      </c>
      <c r="N6">
        <v>121183.09</v>
      </c>
      <c r="P6">
        <v>38900</v>
      </c>
      <c r="R6">
        <v>100000</v>
      </c>
    </row>
    <row r="7" ht="16.5" spans="1:18">
      <c r="A7" s="36" t="s">
        <v>96</v>
      </c>
      <c r="B7" s="38"/>
      <c r="C7" s="37"/>
      <c r="D7" s="39" t="s">
        <v>97</v>
      </c>
      <c r="E7" s="40">
        <v>20000</v>
      </c>
      <c r="F7" s="2"/>
      <c r="G7" s="40">
        <v>20000</v>
      </c>
      <c r="H7" s="41"/>
      <c r="I7" s="41">
        <f>M7-N7</f>
        <v>-52057</v>
      </c>
      <c r="J7" s="2"/>
      <c r="K7" s="2">
        <f>I7-G7</f>
        <v>-72057</v>
      </c>
      <c r="L7" s="6"/>
      <c r="M7">
        <v>17933</v>
      </c>
      <c r="N7">
        <v>69990</v>
      </c>
      <c r="P7">
        <v>17933</v>
      </c>
    </row>
    <row r="8" ht="22.5" spans="1:18">
      <c r="A8" s="42" t="s">
        <v>98</v>
      </c>
      <c r="B8" s="43"/>
      <c r="C8" s="43"/>
      <c r="D8" s="43"/>
      <c r="E8" s="44">
        <f t="shared" ref="E8:I8" si="0">SUM(E5:E7)</f>
        <v>180000</v>
      </c>
      <c r="F8" s="12"/>
      <c r="G8" s="44">
        <f t="shared" si="0"/>
        <v>180000</v>
      </c>
      <c r="H8" s="10"/>
      <c r="I8" s="44">
        <f t="shared" si="0"/>
        <v>-342729.03</v>
      </c>
      <c r="J8" s="12"/>
      <c r="K8" s="11">
        <f>I8-G8</f>
        <v>-522729.03</v>
      </c>
      <c r="L8" s="12"/>
    </row>
    <row r="9" ht="16.5" spans="1:18">
      <c r="A9" s="45" t="s">
        <v>21</v>
      </c>
      <c r="B9" s="45"/>
      <c r="C9" s="3" t="s">
        <v>22</v>
      </c>
      <c r="D9" s="39" t="s">
        <v>99</v>
      </c>
      <c r="E9" s="14">
        <v>760000</v>
      </c>
      <c r="F9" s="15"/>
      <c r="G9" s="14">
        <v>760000</v>
      </c>
      <c r="H9" s="46"/>
      <c r="I9" s="46">
        <v>766708</v>
      </c>
      <c r="J9" s="15"/>
      <c r="K9" s="14">
        <f t="shared" ref="K9:K19" si="1">I9-E9</f>
        <v>6708</v>
      </c>
      <c r="L9" s="15">
        <f t="shared" ref="L9:L19" si="2">K9/E9</f>
        <v>0.00882631578947368</v>
      </c>
    </row>
    <row r="10" ht="16.5" spans="1:18">
      <c r="A10" s="45"/>
      <c r="B10" s="45"/>
      <c r="C10" s="3" t="s">
        <v>24</v>
      </c>
      <c r="D10" s="39" t="s">
        <v>100</v>
      </c>
      <c r="E10" s="14">
        <v>95000</v>
      </c>
      <c r="F10" s="15"/>
      <c r="G10" s="14">
        <v>95000</v>
      </c>
      <c r="H10" s="46"/>
      <c r="I10" s="46">
        <v>257415.2</v>
      </c>
      <c r="J10" s="15"/>
      <c r="K10" s="14">
        <f t="shared" si="1"/>
        <v>162415.2</v>
      </c>
      <c r="L10" s="15">
        <f t="shared" si="2"/>
        <v>1.70963368421053</v>
      </c>
    </row>
    <row r="11" ht="16.5" spans="1:18">
      <c r="A11" s="45"/>
      <c r="B11" s="45"/>
      <c r="C11" s="3" t="s">
        <v>26</v>
      </c>
      <c r="D11" s="39" t="s">
        <v>101</v>
      </c>
      <c r="E11" s="14">
        <v>40000</v>
      </c>
      <c r="F11" s="15"/>
      <c r="G11" s="14">
        <v>40000</v>
      </c>
      <c r="H11" s="46"/>
      <c r="I11" s="14">
        <v>29040</v>
      </c>
      <c r="J11" s="15"/>
      <c r="K11" s="14">
        <f t="shared" si="1"/>
        <v>-10960</v>
      </c>
      <c r="L11" s="15">
        <f t="shared" si="2"/>
        <v>-0.274</v>
      </c>
    </row>
    <row r="12" ht="16.5" spans="1:18">
      <c r="A12" s="45"/>
      <c r="B12" s="45"/>
      <c r="C12" s="3" t="s">
        <v>28</v>
      </c>
      <c r="D12" s="39" t="s">
        <v>102</v>
      </c>
      <c r="E12" s="14">
        <v>20000</v>
      </c>
      <c r="F12" s="15"/>
      <c r="G12" s="14">
        <v>20000</v>
      </c>
      <c r="H12" s="46"/>
      <c r="I12" s="46">
        <v>161974.5</v>
      </c>
      <c r="J12" s="15"/>
      <c r="K12" s="14">
        <f t="shared" si="1"/>
        <v>141974.5</v>
      </c>
      <c r="L12" s="15">
        <f t="shared" si="2"/>
        <v>7.098725</v>
      </c>
    </row>
    <row r="13" ht="16.5" spans="1:18">
      <c r="A13" s="45"/>
      <c r="B13" s="45"/>
      <c r="C13" s="3" t="s">
        <v>30</v>
      </c>
      <c r="D13" s="39" t="s">
        <v>103</v>
      </c>
      <c r="E13" s="14">
        <v>96500</v>
      </c>
      <c r="F13" s="15"/>
      <c r="G13" s="14">
        <v>96500</v>
      </c>
      <c r="H13" s="14"/>
      <c r="I13" s="14">
        <v>63714.19</v>
      </c>
      <c r="J13" s="15"/>
      <c r="K13" s="14">
        <f t="shared" si="1"/>
        <v>-32785.81</v>
      </c>
      <c r="L13" s="15">
        <f t="shared" si="2"/>
        <v>-0.33974932642487</v>
      </c>
    </row>
    <row r="14" ht="16.5" spans="1:18">
      <c r="A14" s="45"/>
      <c r="B14" s="45"/>
      <c r="C14" s="3" t="s">
        <v>32</v>
      </c>
      <c r="D14" s="39" t="s">
        <v>104</v>
      </c>
      <c r="E14" s="14"/>
      <c r="F14" s="15"/>
      <c r="G14" s="14"/>
      <c r="H14" s="14"/>
      <c r="I14" s="14"/>
      <c r="J14" s="15"/>
      <c r="K14" s="14">
        <f t="shared" si="1"/>
        <v>0</v>
      </c>
      <c r="L14" s="15" t="e">
        <f t="shared" si="2"/>
        <v>#DIV/0!</v>
      </c>
    </row>
    <row r="15" ht="16.5" spans="1:18">
      <c r="A15" s="45"/>
      <c r="B15" s="45"/>
      <c r="C15" s="3" t="s">
        <v>34</v>
      </c>
      <c r="D15" s="39" t="s">
        <v>105</v>
      </c>
      <c r="E15" s="14"/>
      <c r="F15" s="15"/>
      <c r="G15" s="14"/>
      <c r="H15" s="14"/>
      <c r="I15" s="14"/>
      <c r="J15" s="15"/>
      <c r="K15" s="14">
        <f t="shared" si="1"/>
        <v>0</v>
      </c>
      <c r="L15" s="15" t="e">
        <f t="shared" si="2"/>
        <v>#DIV/0!</v>
      </c>
    </row>
    <row r="16" ht="16.5" spans="1:18">
      <c r="A16" s="45"/>
      <c r="B16" s="45"/>
      <c r="C16" s="47" t="s">
        <v>40</v>
      </c>
      <c r="D16" s="39" t="s">
        <v>106</v>
      </c>
      <c r="E16" s="14">
        <v>500</v>
      </c>
      <c r="F16" s="14"/>
      <c r="G16" s="14">
        <v>500</v>
      </c>
      <c r="H16" s="14"/>
      <c r="I16" s="14">
        <v>500</v>
      </c>
      <c r="J16" s="15"/>
      <c r="K16" s="14">
        <f t="shared" si="1"/>
        <v>0</v>
      </c>
      <c r="L16" s="15">
        <f t="shared" si="2"/>
        <v>0</v>
      </c>
    </row>
    <row r="17" ht="16.5" spans="1:12">
      <c r="A17" s="45"/>
      <c r="B17" s="45"/>
      <c r="C17" s="48" t="s">
        <v>42</v>
      </c>
      <c r="D17" s="39" t="s">
        <v>107</v>
      </c>
      <c r="E17" s="14"/>
      <c r="F17" s="14"/>
      <c r="G17" s="14"/>
      <c r="H17" s="14"/>
      <c r="I17" s="14"/>
      <c r="J17" s="15"/>
      <c r="K17" s="14">
        <f t="shared" si="1"/>
        <v>0</v>
      </c>
      <c r="L17" s="15" t="e">
        <f t="shared" si="2"/>
        <v>#DIV/0!</v>
      </c>
    </row>
    <row r="18" ht="16.5" spans="1:12">
      <c r="A18" s="45"/>
      <c r="B18" s="45"/>
      <c r="C18" s="48" t="s">
        <v>44</v>
      </c>
      <c r="D18" s="39" t="s">
        <v>108</v>
      </c>
      <c r="E18" s="14">
        <v>482.5</v>
      </c>
      <c r="F18" s="14"/>
      <c r="G18" s="14">
        <v>482.5</v>
      </c>
      <c r="H18" s="14"/>
      <c r="I18" s="14">
        <v>482.5</v>
      </c>
      <c r="J18" s="15"/>
      <c r="K18" s="14">
        <f t="shared" si="1"/>
        <v>0</v>
      </c>
      <c r="L18" s="15">
        <f t="shared" si="2"/>
        <v>0</v>
      </c>
    </row>
    <row r="19" ht="22.5" spans="1:12">
      <c r="A19" s="49" t="s">
        <v>46</v>
      </c>
      <c r="B19" s="49"/>
      <c r="C19" s="49"/>
      <c r="D19" s="50" t="s">
        <v>18</v>
      </c>
      <c r="E19" s="44">
        <f t="shared" ref="E19:I19" si="3">SUM(E9:E18)</f>
        <v>1012482.5</v>
      </c>
      <c r="F19" s="44"/>
      <c r="G19" s="51">
        <f t="shared" si="3"/>
        <v>1012482.5</v>
      </c>
      <c r="H19" s="51"/>
      <c r="I19" s="51">
        <f t="shared" si="3"/>
        <v>1279834.39</v>
      </c>
      <c r="J19" s="52"/>
      <c r="K19" s="44">
        <f t="shared" si="1"/>
        <v>267351.89</v>
      </c>
      <c r="L19" s="52">
        <f t="shared" si="2"/>
        <v>0.264055813310353</v>
      </c>
    </row>
    <row r="20" ht="16.5" spans="1:12">
      <c r="A20" s="3" t="s">
        <v>61</v>
      </c>
      <c r="B20" s="3"/>
      <c r="C20" s="3" t="s">
        <v>62</v>
      </c>
      <c r="D20" s="39" t="s">
        <v>109</v>
      </c>
      <c r="E20" s="3">
        <v>13</v>
      </c>
      <c r="F20" s="3"/>
      <c r="G20" s="3"/>
      <c r="H20" s="3"/>
      <c r="I20" s="3">
        <v>13</v>
      </c>
      <c r="J20" s="3"/>
      <c r="K20" s="14"/>
      <c r="L20" s="14"/>
    </row>
    <row r="21" ht="16.5" spans="1:12">
      <c r="A21" s="3"/>
      <c r="B21" s="3"/>
      <c r="C21" s="3" t="s">
        <v>64</v>
      </c>
      <c r="D21" s="39" t="s">
        <v>110</v>
      </c>
      <c r="E21" s="3">
        <v>0</v>
      </c>
      <c r="F21" s="3"/>
      <c r="G21" s="3"/>
      <c r="H21" s="3"/>
      <c r="I21" s="3">
        <v>0</v>
      </c>
      <c r="J21" s="3"/>
      <c r="K21" s="14"/>
      <c r="L21" s="14"/>
    </row>
    <row r="22" ht="16.5" spans="1:12">
      <c r="A22" s="3"/>
      <c r="B22" s="3"/>
      <c r="C22" s="3" t="s">
        <v>66</v>
      </c>
      <c r="D22" s="39" t="s">
        <v>111</v>
      </c>
      <c r="E22" s="30">
        <v>13</v>
      </c>
      <c r="F22" s="30"/>
      <c r="G22" s="30"/>
      <c r="H22" s="30"/>
      <c r="I22" s="30">
        <v>13</v>
      </c>
      <c r="J22" s="30"/>
      <c r="K22" s="14"/>
      <c r="L22" s="14"/>
    </row>
    <row r="23" ht="16.5" spans="1:12">
      <c r="A23" s="3" t="s">
        <v>68</v>
      </c>
      <c r="B23" s="3"/>
      <c r="C23" s="3" t="s">
        <v>69</v>
      </c>
      <c r="D23" s="39" t="s">
        <v>112</v>
      </c>
      <c r="E23" s="30"/>
      <c r="F23" s="30"/>
      <c r="G23" s="30"/>
      <c r="H23" s="30"/>
      <c r="I23" s="30">
        <v>2392</v>
      </c>
      <c r="J23" s="30"/>
      <c r="K23" s="14"/>
      <c r="L23" s="14"/>
    </row>
    <row r="24" ht="16.5" spans="1:12">
      <c r="A24" s="3"/>
      <c r="B24" s="3"/>
      <c r="C24" s="3" t="s">
        <v>71</v>
      </c>
      <c r="D24" s="39" t="s">
        <v>23</v>
      </c>
      <c r="E24" s="30"/>
      <c r="F24" s="30"/>
      <c r="G24" s="30"/>
      <c r="H24" s="30"/>
      <c r="I24" s="30"/>
      <c r="J24" s="30"/>
      <c r="K24" s="14"/>
      <c r="L24" s="14"/>
    </row>
    <row r="25" ht="16.5" spans="1:12">
      <c r="A25" s="3"/>
      <c r="B25" s="3"/>
      <c r="C25" s="3" t="s">
        <v>73</v>
      </c>
      <c r="D25" s="39" t="s">
        <v>113</v>
      </c>
      <c r="E25" s="30"/>
      <c r="F25" s="30"/>
      <c r="G25" s="30"/>
      <c r="H25" s="30"/>
      <c r="I25" s="30"/>
      <c r="J25" s="30"/>
      <c r="K25" s="14"/>
      <c r="L25" s="14"/>
    </row>
    <row r="26" ht="16.5" spans="1:12">
      <c r="A26" s="10" t="s">
        <v>77</v>
      </c>
      <c r="B26" s="10"/>
      <c r="C26" s="10"/>
      <c r="D26" s="29" t="s">
        <v>78</v>
      </c>
      <c r="E26" s="32"/>
      <c r="F26" s="32"/>
      <c r="G26" s="11"/>
      <c r="H26" s="11"/>
      <c r="I26" s="11"/>
      <c r="J26" s="11"/>
      <c r="K26" s="32"/>
      <c r="L26" s="32"/>
    </row>
    <row r="27" ht="16.5" spans="1:12">
      <c r="A27" s="53"/>
      <c r="B27" s="53"/>
      <c r="C27" s="8"/>
      <c r="D27" s="54" t="s">
        <v>2</v>
      </c>
      <c r="E27" s="2" t="s">
        <v>88</v>
      </c>
      <c r="F27" s="2"/>
      <c r="G27" s="36" t="s">
        <v>89</v>
      </c>
      <c r="H27" s="37"/>
      <c r="I27" s="2" t="s">
        <v>90</v>
      </c>
      <c r="J27" s="2"/>
      <c r="K27" s="2" t="s">
        <v>6</v>
      </c>
      <c r="L27" s="2"/>
    </row>
    <row r="28" ht="22.5" spans="1:12">
      <c r="A28" s="55"/>
      <c r="B28" s="55"/>
      <c r="C28" s="55"/>
      <c r="D28" s="56"/>
      <c r="E28" s="2" t="s">
        <v>91</v>
      </c>
      <c r="F28" s="2" t="s">
        <v>8</v>
      </c>
      <c r="G28" s="2" t="s">
        <v>7</v>
      </c>
      <c r="H28" s="2" t="s">
        <v>8</v>
      </c>
      <c r="I28" s="2" t="s">
        <v>9</v>
      </c>
      <c r="J28" s="2" t="s">
        <v>8</v>
      </c>
      <c r="K28" s="2" t="s">
        <v>10</v>
      </c>
      <c r="L28" s="2" t="s">
        <v>11</v>
      </c>
    </row>
    <row r="29" ht="16.5" spans="1:12">
      <c r="A29" s="45" t="s">
        <v>114</v>
      </c>
      <c r="B29" s="45"/>
      <c r="C29" s="57" t="s">
        <v>115</v>
      </c>
      <c r="D29" s="58" t="s">
        <v>116</v>
      </c>
      <c r="E29" s="59">
        <v>1800000</v>
      </c>
      <c r="F29" s="60"/>
      <c r="G29" s="59">
        <v>1800000</v>
      </c>
      <c r="H29" s="61"/>
      <c r="I29" s="61"/>
      <c r="J29" s="60"/>
      <c r="K29" s="60">
        <f>I29-E29</f>
        <v>-1800000</v>
      </c>
      <c r="L29" s="62">
        <f>K29/E29</f>
        <v>-1</v>
      </c>
    </row>
    <row r="30" ht="16.5" spans="1:12">
      <c r="A30" s="45"/>
      <c r="B30" s="45"/>
      <c r="C30" s="63" t="s">
        <v>117</v>
      </c>
      <c r="D30" s="14" t="s">
        <v>118</v>
      </c>
      <c r="E30" s="14">
        <v>1700000</v>
      </c>
      <c r="F30" s="14"/>
      <c r="G30" s="14">
        <v>1700000</v>
      </c>
      <c r="H30" s="27"/>
      <c r="I30" s="27"/>
      <c r="J30" s="15"/>
      <c r="K30" s="14"/>
      <c r="L30" s="15"/>
    </row>
    <row r="31" ht="16.5" spans="1:12">
      <c r="A31" s="45"/>
      <c r="B31" s="45"/>
      <c r="C31" s="63" t="s">
        <v>119</v>
      </c>
      <c r="D31" s="14" t="s">
        <v>120</v>
      </c>
      <c r="E31" s="14">
        <v>100000</v>
      </c>
      <c r="F31" s="14"/>
      <c r="G31" s="14">
        <v>100000</v>
      </c>
      <c r="H31" s="27"/>
      <c r="I31" s="27"/>
      <c r="J31" s="15"/>
      <c r="K31" s="14"/>
      <c r="L31" s="15"/>
    </row>
    <row r="32" ht="16.5" spans="1:12">
      <c r="A32" s="45"/>
      <c r="B32" s="45"/>
      <c r="C32" s="63" t="s">
        <v>121</v>
      </c>
      <c r="D32" s="14" t="s">
        <v>122</v>
      </c>
      <c r="E32" s="14">
        <v>100000</v>
      </c>
      <c r="F32" s="14"/>
      <c r="G32" s="14">
        <v>100000</v>
      </c>
      <c r="H32" s="27"/>
      <c r="I32" s="27"/>
      <c r="J32" s="15"/>
      <c r="K32" s="14"/>
      <c r="L32" s="15"/>
    </row>
    <row r="33" ht="16.5" spans="1:12">
      <c r="A33" s="45"/>
      <c r="B33" s="45"/>
      <c r="C33" s="63" t="s">
        <v>123</v>
      </c>
      <c r="D33" s="14" t="s">
        <v>124</v>
      </c>
      <c r="E33" s="14">
        <v>2100000</v>
      </c>
      <c r="F33" s="14"/>
      <c r="G33" s="14">
        <v>2100000</v>
      </c>
      <c r="H33" s="27"/>
      <c r="I33" s="27"/>
      <c r="J33" s="15"/>
      <c r="K33" s="14"/>
      <c r="L33" s="15"/>
    </row>
    <row r="34" ht="16.5" spans="1:12">
      <c r="A34" s="45"/>
      <c r="B34" s="45"/>
      <c r="C34" s="64" t="s">
        <v>125</v>
      </c>
      <c r="D34" s="58" t="s">
        <v>126</v>
      </c>
      <c r="E34" s="21">
        <f>SUM(E30:E33)</f>
        <v>4000000</v>
      </c>
      <c r="F34" s="21"/>
      <c r="G34" s="65">
        <f>SUM(G30:G33)</f>
        <v>4000000</v>
      </c>
      <c r="H34" s="65"/>
      <c r="I34" s="65"/>
      <c r="J34" s="66"/>
      <c r="K34" s="21"/>
      <c r="L34" s="66"/>
    </row>
    <row r="35" ht="16.5" spans="1:12">
      <c r="A35" s="45"/>
      <c r="B35" s="45"/>
      <c r="C35" s="64" t="s">
        <v>127</v>
      </c>
      <c r="D35" s="58" t="s">
        <v>128</v>
      </c>
      <c r="E35" s="67">
        <v>30000000</v>
      </c>
      <c r="F35" s="21"/>
      <c r="G35" s="67">
        <v>30000000</v>
      </c>
      <c r="H35" s="65"/>
      <c r="I35" s="65"/>
      <c r="J35" s="66"/>
      <c r="K35" s="21"/>
      <c r="L35" s="66"/>
    </row>
    <row r="36" ht="16.5" spans="1:12">
      <c r="A36" s="70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</row>
  </sheetData>
  <mergeCells count="45">
    <mergeCell ref="A1:L1"/>
    <mergeCell ref="E2:L2"/>
    <mergeCell ref="E3:F3"/>
    <mergeCell ref="G3:H3"/>
    <mergeCell ref="I3:J3"/>
    <mergeCell ref="K3:L3"/>
    <mergeCell ref="A5:C5"/>
    <mergeCell ref="A6:C6"/>
    <mergeCell ref="A7:C7"/>
    <mergeCell ref="A8:D8"/>
    <mergeCell ref="A19:C19"/>
    <mergeCell ref="E20:F20"/>
    <mergeCell ref="I20:J20"/>
    <mergeCell ref="K20:L20"/>
    <mergeCell ref="E21:F21"/>
    <mergeCell ref="I21:J21"/>
    <mergeCell ref="K21:L21"/>
    <mergeCell ref="E22:F22"/>
    <mergeCell ref="I22:J22"/>
    <mergeCell ref="K22:L22"/>
    <mergeCell ref="E23:F23"/>
    <mergeCell ref="I23:J23"/>
    <mergeCell ref="K23:L23"/>
    <mergeCell ref="E24:F24"/>
    <mergeCell ref="I24:J24"/>
    <mergeCell ref="K24:L24"/>
    <mergeCell ref="E25:F25"/>
    <mergeCell ref="I25:J25"/>
    <mergeCell ref="K25:L25"/>
    <mergeCell ref="A26:C26"/>
    <mergeCell ref="E26:F26"/>
    <mergeCell ref="I26:J26"/>
    <mergeCell ref="K26:L26"/>
    <mergeCell ref="E27:F27"/>
    <mergeCell ref="G27:H27"/>
    <mergeCell ref="I27:J27"/>
    <mergeCell ref="K27:L27"/>
    <mergeCell ref="A36:L36"/>
    <mergeCell ref="D2:D4"/>
    <mergeCell ref="D27:D28"/>
    <mergeCell ref="A2:C4"/>
    <mergeCell ref="A9:B18"/>
    <mergeCell ref="A20:B22"/>
    <mergeCell ref="A23:B25"/>
    <mergeCell ref="A29:B35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7"/>
  <sheetViews>
    <sheetView topLeftCell="A8" workbookViewId="0">
      <selection activeCell="G15" sqref="G15"/>
    </sheetView>
  </sheetViews>
  <sheetFormatPr defaultColWidth="9" defaultRowHeight="13.5"/>
  <cols>
    <col min="3" max="3" width="14.5" customWidth="1"/>
    <col min="4" max="4" width="20.25" customWidth="1"/>
    <col min="5" max="5" width="21.125" customWidth="1"/>
    <col min="6" max="6" width="21.5" customWidth="1"/>
    <col min="7" max="7" width="21.25" customWidth="1"/>
    <col min="8" max="8" width="24.875" customWidth="1"/>
    <col min="9" max="9" width="23.5" customWidth="1"/>
    <col min="11" max="11" width="21.375" customWidth="1"/>
    <col min="16" max="16" width="11.5"/>
  </cols>
  <sheetData>
    <row r="1" ht="22.5" spans="1:16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6.5" customHeight="1" spans="1:16">
      <c r="A2" s="2" t="s">
        <v>1</v>
      </c>
      <c r="B2" s="2"/>
      <c r="C2" s="2"/>
      <c r="D2" s="2" t="s">
        <v>2</v>
      </c>
      <c r="E2" s="2" t="s">
        <v>3</v>
      </c>
      <c r="F2" s="2"/>
      <c r="G2" s="2"/>
      <c r="H2" s="2"/>
      <c r="I2" s="2"/>
      <c r="J2" s="2"/>
      <c r="K2" s="2"/>
      <c r="L2" s="2"/>
    </row>
    <row r="3" ht="16.5" spans="1:16">
      <c r="A3" s="2"/>
      <c r="B3" s="2"/>
      <c r="C3" s="2"/>
      <c r="D3" s="2"/>
      <c r="E3" s="2" t="s">
        <v>88</v>
      </c>
      <c r="F3" s="2"/>
      <c r="G3" s="36" t="s">
        <v>89</v>
      </c>
      <c r="H3" s="37"/>
      <c r="I3" s="2" t="s">
        <v>90</v>
      </c>
      <c r="J3" s="2"/>
      <c r="K3" s="2" t="s">
        <v>6</v>
      </c>
      <c r="L3" s="2"/>
    </row>
    <row r="4" ht="16.5" spans="1:16">
      <c r="A4" s="2"/>
      <c r="B4" s="2"/>
      <c r="C4" s="2"/>
      <c r="D4" s="2"/>
      <c r="E4" s="2" t="s">
        <v>91</v>
      </c>
      <c r="F4" s="2" t="s">
        <v>8</v>
      </c>
      <c r="G4" s="2" t="s">
        <v>7</v>
      </c>
      <c r="H4" s="2" t="s">
        <v>8</v>
      </c>
      <c r="I4" s="2" t="s">
        <v>9</v>
      </c>
      <c r="J4" s="2" t="s">
        <v>8</v>
      </c>
      <c r="K4" s="2" t="s">
        <v>10</v>
      </c>
      <c r="L4" s="2" t="s">
        <v>11</v>
      </c>
    </row>
    <row r="5" ht="16.5" spans="1:16">
      <c r="A5" s="36" t="s">
        <v>92</v>
      </c>
      <c r="B5" s="38"/>
      <c r="C5" s="37"/>
      <c r="D5" s="39" t="s">
        <v>93</v>
      </c>
      <c r="E5" s="40">
        <v>1410000</v>
      </c>
      <c r="F5" s="2"/>
      <c r="G5" s="40">
        <v>1460000</v>
      </c>
      <c r="H5" s="41"/>
      <c r="I5" s="41">
        <v>1697066.8</v>
      </c>
      <c r="J5" s="2"/>
      <c r="K5" s="2"/>
      <c r="L5" s="6"/>
      <c r="N5">
        <v>-108388.94</v>
      </c>
      <c r="P5">
        <f>I5+N5</f>
        <v>1588677.86</v>
      </c>
    </row>
    <row r="6" ht="16.5" customHeight="1" spans="1:16">
      <c r="A6" s="36" t="s">
        <v>94</v>
      </c>
      <c r="B6" s="38"/>
      <c r="C6" s="37"/>
      <c r="D6" s="39" t="s">
        <v>95</v>
      </c>
      <c r="E6" s="40">
        <v>710000</v>
      </c>
      <c r="F6" s="2"/>
      <c r="G6" s="40">
        <v>750000</v>
      </c>
      <c r="H6" s="41"/>
      <c r="I6" s="41">
        <v>1011401.76</v>
      </c>
      <c r="J6" s="2"/>
      <c r="K6" s="2"/>
      <c r="L6" s="6"/>
      <c r="N6">
        <v>-182283.09</v>
      </c>
      <c r="P6">
        <f>I6+N6</f>
        <v>829118.67</v>
      </c>
    </row>
    <row r="7" ht="16.5" spans="1:16">
      <c r="A7" s="36" t="s">
        <v>96</v>
      </c>
      <c r="B7" s="38"/>
      <c r="C7" s="37"/>
      <c r="D7" s="39" t="s">
        <v>97</v>
      </c>
      <c r="E7" s="40">
        <v>210000</v>
      </c>
      <c r="F7" s="2"/>
      <c r="G7" s="40">
        <v>230000</v>
      </c>
      <c r="H7" s="41"/>
      <c r="I7" s="41">
        <v>370989.61</v>
      </c>
      <c r="J7" s="2"/>
      <c r="K7" s="2"/>
      <c r="L7" s="6"/>
      <c r="N7">
        <v>-52057</v>
      </c>
      <c r="P7">
        <f>I7+N7</f>
        <v>318932.61</v>
      </c>
    </row>
    <row r="8" ht="22.5" spans="1:16">
      <c r="A8" s="42" t="s">
        <v>98</v>
      </c>
      <c r="B8" s="43"/>
      <c r="C8" s="43"/>
      <c r="D8" s="43"/>
      <c r="E8" s="44">
        <f>SUM(E5:E7)</f>
        <v>2330000</v>
      </c>
      <c r="F8" s="12"/>
      <c r="G8" s="44">
        <v>2440000</v>
      </c>
      <c r="H8" s="10"/>
      <c r="I8" s="44">
        <f>SUM(I5:I7)</f>
        <v>3079458.17</v>
      </c>
      <c r="J8" s="12"/>
      <c r="K8" s="11"/>
      <c r="L8" s="12"/>
    </row>
    <row r="9" ht="16.5" spans="1:16">
      <c r="A9" s="45" t="s">
        <v>21</v>
      </c>
      <c r="B9" s="45"/>
      <c r="C9" s="3" t="s">
        <v>22</v>
      </c>
      <c r="D9" s="39" t="s">
        <v>99</v>
      </c>
      <c r="E9" s="14">
        <v>2945000</v>
      </c>
      <c r="F9" s="15"/>
      <c r="G9" s="14">
        <v>2997000</v>
      </c>
      <c r="H9" s="46"/>
      <c r="I9" s="46">
        <v>3103548.39</v>
      </c>
      <c r="J9" s="15"/>
      <c r="K9" s="14">
        <f t="shared" ref="K9:K19" si="0">I9-E9</f>
        <v>158548.39</v>
      </c>
      <c r="L9" s="15">
        <f t="shared" ref="L9:L19" si="1">K9/E9</f>
        <v>0.0538364651952462</v>
      </c>
    </row>
    <row r="10" ht="16.5" spans="1:16">
      <c r="A10" s="45"/>
      <c r="B10" s="45"/>
      <c r="C10" s="3" t="s">
        <v>24</v>
      </c>
      <c r="D10" s="39" t="s">
        <v>100</v>
      </c>
      <c r="E10" s="14">
        <v>860000</v>
      </c>
      <c r="F10" s="15"/>
      <c r="G10" s="14">
        <v>810000</v>
      </c>
      <c r="H10" s="46"/>
      <c r="I10" s="46">
        <v>379659.5</v>
      </c>
      <c r="J10" s="15"/>
      <c r="K10" s="14">
        <f t="shared" si="0"/>
        <v>-480340.5</v>
      </c>
      <c r="L10" s="15">
        <f t="shared" si="1"/>
        <v>-0.558535465116279</v>
      </c>
    </row>
    <row r="11" ht="22.5" customHeight="1" spans="1:16">
      <c r="A11" s="45"/>
      <c r="B11" s="45"/>
      <c r="C11" s="3" t="s">
        <v>26</v>
      </c>
      <c r="D11" s="39" t="s">
        <v>101</v>
      </c>
      <c r="E11" s="14">
        <v>260000</v>
      </c>
      <c r="F11" s="15"/>
      <c r="G11" s="14">
        <v>275000</v>
      </c>
      <c r="H11" s="46"/>
      <c r="I11" s="46">
        <v>246030.21</v>
      </c>
      <c r="J11" s="15"/>
      <c r="K11" s="14">
        <f t="shared" si="0"/>
        <v>-13969.79</v>
      </c>
      <c r="L11" s="15">
        <f t="shared" si="1"/>
        <v>-0.0537299615384616</v>
      </c>
    </row>
    <row r="12" ht="16.5" spans="1:16">
      <c r="A12" s="45"/>
      <c r="B12" s="45"/>
      <c r="C12" s="3" t="s">
        <v>28</v>
      </c>
      <c r="D12" s="39" t="s">
        <v>102</v>
      </c>
      <c r="E12" s="14">
        <v>533000</v>
      </c>
      <c r="F12" s="15"/>
      <c r="G12" s="14">
        <v>533000</v>
      </c>
      <c r="H12" s="46"/>
      <c r="I12" s="46">
        <v>470978.9</v>
      </c>
      <c r="J12" s="15"/>
      <c r="K12" s="14">
        <f t="shared" si="0"/>
        <v>-62021.1</v>
      </c>
      <c r="L12" s="15">
        <f t="shared" si="1"/>
        <v>-0.116362288930582</v>
      </c>
    </row>
    <row r="13" ht="16.5" spans="1:16">
      <c r="A13" s="45"/>
      <c r="B13" s="45"/>
      <c r="C13" s="3" t="s">
        <v>30</v>
      </c>
      <c r="D13" s="39" t="s">
        <v>103</v>
      </c>
      <c r="E13" s="14">
        <v>1507400</v>
      </c>
      <c r="F13" s="15"/>
      <c r="G13" s="14">
        <v>1518300</v>
      </c>
      <c r="H13" s="14"/>
      <c r="I13" s="14">
        <v>1576073.77</v>
      </c>
      <c r="J13" s="15"/>
      <c r="K13" s="14">
        <f t="shared" si="0"/>
        <v>68673.77</v>
      </c>
      <c r="L13" s="15">
        <f t="shared" si="1"/>
        <v>0.0455577617089028</v>
      </c>
    </row>
    <row r="14" ht="16.5" spans="1:16">
      <c r="A14" s="45"/>
      <c r="B14" s="45"/>
      <c r="C14" s="3" t="s">
        <v>32</v>
      </c>
      <c r="D14" s="39" t="s">
        <v>104</v>
      </c>
      <c r="E14" s="14"/>
      <c r="F14" s="15"/>
      <c r="G14" s="14"/>
      <c r="H14" s="14"/>
      <c r="I14" s="14"/>
      <c r="J14" s="15"/>
      <c r="K14" s="14">
        <f t="shared" si="0"/>
        <v>0</v>
      </c>
      <c r="L14" s="15" t="e">
        <f t="shared" si="1"/>
        <v>#DIV/0!</v>
      </c>
    </row>
    <row r="15" ht="16.5" spans="1:16">
      <c r="A15" s="45"/>
      <c r="B15" s="45"/>
      <c r="C15" s="3" t="s">
        <v>34</v>
      </c>
      <c r="D15" s="39" t="s">
        <v>105</v>
      </c>
      <c r="E15" s="14">
        <v>0</v>
      </c>
      <c r="F15" s="15"/>
      <c r="G15" s="14">
        <v>2599</v>
      </c>
      <c r="H15" s="14"/>
      <c r="I15" s="14">
        <v>2599</v>
      </c>
      <c r="J15" s="15"/>
      <c r="K15" s="14">
        <f t="shared" si="0"/>
        <v>2599</v>
      </c>
      <c r="L15" s="15" t="e">
        <f t="shared" si="1"/>
        <v>#DIV/0!</v>
      </c>
    </row>
    <row r="16" ht="16.5" spans="1:16">
      <c r="A16" s="45"/>
      <c r="B16" s="45"/>
      <c r="C16" s="47" t="s">
        <v>40</v>
      </c>
      <c r="D16" s="39" t="s">
        <v>106</v>
      </c>
      <c r="E16" s="14">
        <v>6000</v>
      </c>
      <c r="F16" s="14"/>
      <c r="G16" s="14">
        <v>6000</v>
      </c>
      <c r="H16" s="14"/>
      <c r="I16" s="14">
        <v>6000</v>
      </c>
      <c r="J16" s="15"/>
      <c r="K16" s="14">
        <f t="shared" si="0"/>
        <v>0</v>
      </c>
      <c r="L16" s="15">
        <f t="shared" si="1"/>
        <v>0</v>
      </c>
    </row>
    <row r="17" ht="16.5" spans="1:12">
      <c r="A17" s="45"/>
      <c r="B17" s="45"/>
      <c r="C17" s="48" t="s">
        <v>42</v>
      </c>
      <c r="D17" s="39" t="s">
        <v>107</v>
      </c>
      <c r="E17" s="14"/>
      <c r="F17" s="14"/>
      <c r="G17" s="14"/>
      <c r="H17" s="14"/>
      <c r="I17" s="14"/>
      <c r="J17" s="15"/>
      <c r="K17" s="14">
        <f t="shared" si="0"/>
        <v>0</v>
      </c>
      <c r="L17" s="15" t="e">
        <f t="shared" si="1"/>
        <v>#DIV/0!</v>
      </c>
    </row>
    <row r="18" ht="16.5" spans="1:12">
      <c r="A18" s="45"/>
      <c r="B18" s="45"/>
      <c r="C18" s="48" t="s">
        <v>44</v>
      </c>
      <c r="D18" s="39" t="s">
        <v>108</v>
      </c>
      <c r="E18" s="14">
        <v>5307.5</v>
      </c>
      <c r="F18" s="14"/>
      <c r="G18" s="14">
        <v>5307.5</v>
      </c>
      <c r="H18" s="14"/>
      <c r="I18" s="14">
        <v>5307.5</v>
      </c>
      <c r="J18" s="15"/>
      <c r="K18" s="14">
        <f t="shared" si="0"/>
        <v>0</v>
      </c>
      <c r="L18" s="15">
        <f t="shared" si="1"/>
        <v>0</v>
      </c>
    </row>
    <row r="19" ht="22.5" spans="1:12">
      <c r="A19" s="49" t="s">
        <v>46</v>
      </c>
      <c r="B19" s="49"/>
      <c r="C19" s="49"/>
      <c r="D19" s="50" t="s">
        <v>18</v>
      </c>
      <c r="E19" s="44">
        <f t="shared" ref="E19:I19" si="2">SUM(E9:E18)</f>
        <v>6116707.5</v>
      </c>
      <c r="F19" s="44"/>
      <c r="G19" s="51">
        <f t="shared" si="2"/>
        <v>6147206.5</v>
      </c>
      <c r="H19" s="51"/>
      <c r="I19" s="51">
        <f t="shared" si="2"/>
        <v>5790197.27</v>
      </c>
      <c r="J19" s="52"/>
      <c r="K19" s="44">
        <f t="shared" si="0"/>
        <v>-326510.23</v>
      </c>
      <c r="L19" s="52">
        <f t="shared" si="1"/>
        <v>-0.0533800627216522</v>
      </c>
    </row>
    <row r="20" ht="16.5" spans="1:12">
      <c r="A20" s="3" t="s">
        <v>61</v>
      </c>
      <c r="B20" s="3"/>
      <c r="C20" s="3" t="s">
        <v>62</v>
      </c>
      <c r="D20" s="39" t="s">
        <v>109</v>
      </c>
      <c r="E20" s="3">
        <v>13</v>
      </c>
      <c r="F20" s="3"/>
      <c r="G20" s="3"/>
      <c r="H20" s="3"/>
      <c r="I20" s="3">
        <v>13</v>
      </c>
      <c r="J20" s="3"/>
      <c r="K20" s="14"/>
      <c r="L20" s="14"/>
    </row>
    <row r="21" ht="16.5" spans="1:12">
      <c r="A21" s="3"/>
      <c r="B21" s="3"/>
      <c r="C21" s="3" t="s">
        <v>64</v>
      </c>
      <c r="D21" s="39" t="s">
        <v>110</v>
      </c>
      <c r="E21" s="3">
        <v>0</v>
      </c>
      <c r="F21" s="3"/>
      <c r="G21" s="3"/>
      <c r="H21" s="3"/>
      <c r="I21" s="3">
        <v>0</v>
      </c>
      <c r="J21" s="3"/>
      <c r="K21" s="14"/>
      <c r="L21" s="14"/>
    </row>
    <row r="22" ht="16.5" spans="1:12">
      <c r="A22" s="3"/>
      <c r="B22" s="3"/>
      <c r="C22" s="3" t="s">
        <v>66</v>
      </c>
      <c r="D22" s="39" t="s">
        <v>111</v>
      </c>
      <c r="E22" s="30">
        <v>13</v>
      </c>
      <c r="F22" s="30"/>
      <c r="G22" s="30"/>
      <c r="H22" s="30"/>
      <c r="I22" s="30">
        <v>13</v>
      </c>
      <c r="J22" s="30"/>
      <c r="K22" s="14"/>
      <c r="L22" s="14"/>
    </row>
    <row r="23" ht="16.5" spans="1:12">
      <c r="A23" s="3" t="s">
        <v>68</v>
      </c>
      <c r="B23" s="3"/>
      <c r="C23" s="3" t="s">
        <v>69</v>
      </c>
      <c r="D23" s="39" t="s">
        <v>112</v>
      </c>
      <c r="E23" s="30"/>
      <c r="F23" s="30"/>
      <c r="G23" s="30"/>
      <c r="H23" s="30"/>
      <c r="I23" s="30"/>
      <c r="J23" s="30"/>
      <c r="K23" s="14"/>
      <c r="L23" s="14"/>
    </row>
    <row r="24" ht="16.5" spans="1:12">
      <c r="A24" s="3"/>
      <c r="B24" s="3"/>
      <c r="C24" s="3" t="s">
        <v>71</v>
      </c>
      <c r="D24" s="39" t="s">
        <v>23</v>
      </c>
      <c r="E24" s="30"/>
      <c r="F24" s="30"/>
      <c r="G24" s="30"/>
      <c r="H24" s="30"/>
      <c r="I24" s="30"/>
      <c r="J24" s="30"/>
      <c r="K24" s="14"/>
      <c r="L24" s="14"/>
    </row>
    <row r="25" ht="16.5" spans="1:12">
      <c r="A25" s="3"/>
      <c r="B25" s="3"/>
      <c r="C25" s="3" t="s">
        <v>73</v>
      </c>
      <c r="D25" s="39" t="s">
        <v>113</v>
      </c>
      <c r="E25" s="30"/>
      <c r="F25" s="30"/>
      <c r="G25" s="30"/>
      <c r="H25" s="30"/>
      <c r="I25" s="30"/>
      <c r="J25" s="30"/>
      <c r="K25" s="14"/>
      <c r="L25" s="14"/>
    </row>
    <row r="26" ht="16.5" spans="1:12">
      <c r="A26" s="10" t="s">
        <v>77</v>
      </c>
      <c r="B26" s="10"/>
      <c r="C26" s="10"/>
      <c r="D26" s="29" t="s">
        <v>78</v>
      </c>
      <c r="E26" s="32"/>
      <c r="F26" s="32"/>
      <c r="G26" s="11"/>
      <c r="H26" s="11"/>
      <c r="I26" s="11"/>
      <c r="J26" s="11"/>
      <c r="K26" s="32"/>
      <c r="L26" s="32"/>
    </row>
    <row r="27" ht="16.5" spans="1:12">
      <c r="A27" s="53"/>
      <c r="B27" s="53"/>
      <c r="C27" s="8"/>
      <c r="D27" s="54" t="s">
        <v>2</v>
      </c>
      <c r="E27" s="2" t="s">
        <v>88</v>
      </c>
      <c r="F27" s="2"/>
      <c r="G27" s="36" t="s">
        <v>89</v>
      </c>
      <c r="H27" s="37"/>
      <c r="I27" s="2" t="s">
        <v>90</v>
      </c>
      <c r="J27" s="2"/>
      <c r="K27" s="2" t="s">
        <v>6</v>
      </c>
      <c r="L27" s="2"/>
    </row>
    <row r="28" ht="22.5" spans="1:12">
      <c r="A28" s="55"/>
      <c r="B28" s="55"/>
      <c r="C28" s="55"/>
      <c r="D28" s="56"/>
      <c r="E28" s="2" t="s">
        <v>91</v>
      </c>
      <c r="F28" s="2" t="s">
        <v>8</v>
      </c>
      <c r="G28" s="2" t="s">
        <v>7</v>
      </c>
      <c r="H28" s="2" t="s">
        <v>8</v>
      </c>
      <c r="I28" s="2" t="s">
        <v>9</v>
      </c>
      <c r="J28" s="2" t="s">
        <v>8</v>
      </c>
      <c r="K28" s="2" t="s">
        <v>10</v>
      </c>
      <c r="L28" s="2" t="s">
        <v>11</v>
      </c>
    </row>
    <row r="29" ht="16.5" spans="1:12">
      <c r="A29" s="45" t="s">
        <v>114</v>
      </c>
      <c r="B29" s="45"/>
      <c r="C29" s="57" t="s">
        <v>115</v>
      </c>
      <c r="D29" s="58" t="s">
        <v>116</v>
      </c>
      <c r="E29" s="59">
        <v>2000000</v>
      </c>
      <c r="F29" s="60"/>
      <c r="G29" s="59">
        <v>2000000</v>
      </c>
      <c r="H29" s="61"/>
      <c r="I29" s="61"/>
      <c r="J29" s="60"/>
      <c r="K29" s="60">
        <f>I29-E29</f>
        <v>-2000000</v>
      </c>
      <c r="L29" s="62">
        <f>K29/E29</f>
        <v>-1</v>
      </c>
    </row>
    <row r="30" ht="16.5" spans="1:12">
      <c r="A30" s="45"/>
      <c r="B30" s="45"/>
      <c r="C30" s="63" t="s">
        <v>117</v>
      </c>
      <c r="D30" s="14" t="s">
        <v>118</v>
      </c>
      <c r="E30" s="14">
        <v>1700000</v>
      </c>
      <c r="F30" s="14"/>
      <c r="G30" s="14">
        <v>1700000</v>
      </c>
      <c r="H30" s="27"/>
      <c r="I30" s="27"/>
      <c r="J30" s="15"/>
      <c r="K30" s="14"/>
      <c r="L30" s="15"/>
    </row>
    <row r="31" ht="16.5" spans="1:12">
      <c r="A31" s="45"/>
      <c r="B31" s="45"/>
      <c r="C31" s="63" t="s">
        <v>119</v>
      </c>
      <c r="D31" s="14" t="s">
        <v>120</v>
      </c>
      <c r="E31" s="14">
        <v>100000</v>
      </c>
      <c r="F31" s="14"/>
      <c r="G31" s="14">
        <v>100000</v>
      </c>
      <c r="H31" s="27"/>
      <c r="I31" s="27"/>
      <c r="J31" s="15"/>
      <c r="K31" s="14"/>
      <c r="L31" s="15"/>
    </row>
    <row r="32" ht="16.5" spans="1:12">
      <c r="A32" s="45"/>
      <c r="B32" s="45"/>
      <c r="C32" s="63" t="s">
        <v>121</v>
      </c>
      <c r="D32" s="14" t="s">
        <v>122</v>
      </c>
      <c r="E32" s="14">
        <v>100000</v>
      </c>
      <c r="F32" s="14"/>
      <c r="G32" s="14">
        <v>100000</v>
      </c>
      <c r="H32" s="27"/>
      <c r="I32" s="27"/>
      <c r="J32" s="15"/>
      <c r="K32" s="14"/>
      <c r="L32" s="15"/>
    </row>
    <row r="33" ht="16.5" spans="1:12">
      <c r="A33" s="45"/>
      <c r="B33" s="45"/>
      <c r="C33" s="63" t="s">
        <v>123</v>
      </c>
      <c r="D33" s="14" t="s">
        <v>124</v>
      </c>
      <c r="E33" s="14">
        <v>2100000</v>
      </c>
      <c r="F33" s="14"/>
      <c r="G33" s="14">
        <v>2100000</v>
      </c>
      <c r="H33" s="27"/>
      <c r="I33" s="27"/>
      <c r="J33" s="15"/>
      <c r="K33" s="14"/>
      <c r="L33" s="15"/>
    </row>
    <row r="34" ht="16.5" spans="1:12">
      <c r="A34" s="45"/>
      <c r="B34" s="45"/>
      <c r="C34" s="64" t="s">
        <v>125</v>
      </c>
      <c r="D34" s="58" t="s">
        <v>126</v>
      </c>
      <c r="E34" s="21">
        <f>SUM(E30:E33)</f>
        <v>4000000</v>
      </c>
      <c r="F34" s="21"/>
      <c r="G34" s="65">
        <f>SUM(G30:G33)</f>
        <v>4000000</v>
      </c>
      <c r="H34" s="65"/>
      <c r="I34" s="65"/>
      <c r="J34" s="66"/>
      <c r="K34" s="21"/>
      <c r="L34" s="66"/>
    </row>
    <row r="35" ht="16.5" spans="1:12">
      <c r="A35" s="45"/>
      <c r="B35" s="45"/>
      <c r="C35" s="64" t="s">
        <v>127</v>
      </c>
      <c r="D35" s="58" t="s">
        <v>128</v>
      </c>
      <c r="E35" s="67">
        <v>30000000</v>
      </c>
      <c r="F35" s="21"/>
      <c r="G35" s="67">
        <v>32000000</v>
      </c>
      <c r="H35" s="65"/>
      <c r="I35" s="65"/>
      <c r="J35" s="66"/>
      <c r="K35" s="21"/>
      <c r="L35" s="66"/>
    </row>
    <row r="36" ht="16.5" spans="1:12">
      <c r="A36" s="70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</row>
    <row r="39" ht="14.25" hidden="1"/>
    <row r="40" ht="17.25" hidden="1" spans="1:12">
      <c r="B40" s="73"/>
      <c r="C40" s="74" t="s">
        <v>129</v>
      </c>
      <c r="D40" s="74" t="s">
        <v>130</v>
      </c>
      <c r="E40" s="74" t="s">
        <v>131</v>
      </c>
      <c r="F40" s="74" t="s">
        <v>132</v>
      </c>
      <c r="G40" s="74" t="s">
        <v>133</v>
      </c>
      <c r="H40" s="74" t="s">
        <v>134</v>
      </c>
      <c r="I40" s="74" t="s">
        <v>135</v>
      </c>
      <c r="J40" s="74" t="s">
        <v>136</v>
      </c>
    </row>
    <row r="41" ht="17.25" hidden="1" spans="1:12">
      <c r="B41" s="75" t="s">
        <v>137</v>
      </c>
      <c r="C41" s="76" t="s">
        <v>138</v>
      </c>
      <c r="D41" s="76">
        <v>1160000</v>
      </c>
      <c r="E41" s="76">
        <v>1180000</v>
      </c>
      <c r="F41" s="76">
        <v>1405666.8</v>
      </c>
      <c r="G41" s="77">
        <v>1.2118</v>
      </c>
      <c r="H41" s="76">
        <v>245666.8</v>
      </c>
      <c r="I41" s="77">
        <v>1.2118</v>
      </c>
      <c r="J41" s="77">
        <v>1.1912</v>
      </c>
    </row>
    <row r="42" ht="17.25" hidden="1" spans="1:12">
      <c r="B42" s="75"/>
      <c r="C42" s="78" t="s">
        <v>139</v>
      </c>
      <c r="D42" s="78">
        <v>620000</v>
      </c>
      <c r="E42" s="78">
        <v>630000</v>
      </c>
      <c r="F42" s="78">
        <v>883550</v>
      </c>
      <c r="G42" s="79">
        <v>1.4251</v>
      </c>
      <c r="H42" s="78">
        <v>263550</v>
      </c>
      <c r="I42" s="79">
        <v>1.4251</v>
      </c>
      <c r="J42" s="79">
        <v>1.4025</v>
      </c>
    </row>
    <row r="43" ht="17.25" hidden="1" spans="1:12">
      <c r="B43" s="75"/>
      <c r="C43" s="76" t="s">
        <v>140</v>
      </c>
      <c r="D43" s="76">
        <v>170000</v>
      </c>
      <c r="E43" s="76">
        <v>190000</v>
      </c>
      <c r="F43" s="76">
        <v>222838.22</v>
      </c>
      <c r="G43" s="77">
        <v>1.3108</v>
      </c>
      <c r="H43" s="76">
        <v>52838.22</v>
      </c>
      <c r="I43" s="77">
        <v>1.3108</v>
      </c>
      <c r="J43" s="77">
        <v>1.1728</v>
      </c>
    </row>
    <row r="44" ht="21.75" hidden="1" spans="1:12">
      <c r="B44" s="75"/>
      <c r="C44" s="78" t="s">
        <v>141</v>
      </c>
      <c r="D44" s="80">
        <v>1950000</v>
      </c>
      <c r="E44" s="80">
        <v>2000000</v>
      </c>
      <c r="F44" s="82">
        <v>2490805.02</v>
      </c>
      <c r="G44" s="81"/>
      <c r="H44" s="82">
        <v>540805.02</v>
      </c>
      <c r="I44" s="83">
        <v>1.2773</v>
      </c>
      <c r="J44" s="83">
        <v>1.2454</v>
      </c>
    </row>
    <row r="45" ht="17.25" hidden="1" spans="1:12">
      <c r="B45" s="75" t="s">
        <v>142</v>
      </c>
      <c r="C45" s="76" t="s">
        <v>143</v>
      </c>
      <c r="D45" s="76">
        <v>2365000</v>
      </c>
      <c r="E45" s="76">
        <v>2417000</v>
      </c>
      <c r="F45" s="76">
        <v>2493120.2</v>
      </c>
      <c r="G45" s="77">
        <v>0.529</v>
      </c>
      <c r="H45" s="76">
        <v>128120.2</v>
      </c>
      <c r="I45" s="77">
        <v>1.0542</v>
      </c>
      <c r="J45" s="77">
        <v>1.0315</v>
      </c>
    </row>
    <row r="46" ht="17.25" hidden="1" spans="1:12">
      <c r="B46" s="75"/>
      <c r="C46" s="78" t="s">
        <v>144</v>
      </c>
      <c r="D46" s="78">
        <v>655000</v>
      </c>
      <c r="E46" s="78">
        <v>615000</v>
      </c>
      <c r="F46" s="78">
        <v>323839.3</v>
      </c>
      <c r="G46" s="79">
        <v>0.0687</v>
      </c>
      <c r="H46" s="78">
        <v>-331160.7</v>
      </c>
      <c r="I46" s="79">
        <v>0.4944</v>
      </c>
      <c r="J46" s="79">
        <v>0.5266</v>
      </c>
    </row>
    <row r="47" ht="17.25" hidden="1" spans="1:12">
      <c r="B47" s="75"/>
      <c r="C47" s="76" t="s">
        <v>145</v>
      </c>
      <c r="D47" s="76">
        <v>463000</v>
      </c>
      <c r="E47" s="76">
        <v>463000</v>
      </c>
      <c r="F47" s="76">
        <v>345797</v>
      </c>
      <c r="G47" s="77">
        <v>0.0734</v>
      </c>
      <c r="H47" s="76">
        <v>-117203</v>
      </c>
      <c r="I47" s="77">
        <v>0.7469</v>
      </c>
      <c r="J47" s="77">
        <v>0.7469</v>
      </c>
    </row>
    <row r="48" ht="17.25" hidden="1" spans="1:12">
      <c r="B48" s="75"/>
      <c r="C48" s="78" t="s">
        <v>146</v>
      </c>
      <c r="D48" s="78">
        <v>190000</v>
      </c>
      <c r="E48" s="78">
        <v>215000</v>
      </c>
      <c r="F48" s="78">
        <v>218900</v>
      </c>
      <c r="G48" s="79">
        <v>0.0464</v>
      </c>
      <c r="H48" s="78">
        <v>28900</v>
      </c>
      <c r="I48" s="79">
        <v>1.1521</v>
      </c>
      <c r="J48" s="79">
        <v>1.0181</v>
      </c>
    </row>
    <row r="49" ht="17.25" hidden="1" spans="2:10">
      <c r="B49" s="75"/>
      <c r="C49" s="76" t="s">
        <v>147</v>
      </c>
      <c r="D49" s="76">
        <v>1260500</v>
      </c>
      <c r="E49" s="76">
        <v>1274900</v>
      </c>
      <c r="F49" s="76">
        <v>1331418.3</v>
      </c>
      <c r="G49" s="77">
        <v>0.2825</v>
      </c>
      <c r="H49" s="76">
        <v>70918.3</v>
      </c>
      <c r="I49" s="77">
        <v>1.0563</v>
      </c>
      <c r="J49" s="77">
        <v>1.0443</v>
      </c>
    </row>
    <row r="50" ht="17.25" hidden="1" spans="2:10">
      <c r="B50" s="75"/>
      <c r="C50" s="84" t="s">
        <v>148</v>
      </c>
      <c r="D50" s="80">
        <v>4933500</v>
      </c>
      <c r="E50" s="80">
        <v>4984900</v>
      </c>
      <c r="F50" s="82">
        <v>4713074.8</v>
      </c>
      <c r="G50" s="81"/>
      <c r="H50" s="82">
        <v>-220425.2</v>
      </c>
      <c r="I50" s="83">
        <v>0.9553</v>
      </c>
      <c r="J50" s="83">
        <v>0.9455</v>
      </c>
    </row>
    <row r="51" ht="14.25" hidden="1" spans="2:10">
      <c r="B51" s="75"/>
      <c r="C51" s="85"/>
      <c r="D51" s="80"/>
      <c r="E51" s="80"/>
      <c r="F51" s="82"/>
      <c r="G51" s="81"/>
      <c r="H51" s="82"/>
      <c r="I51" s="83"/>
      <c r="J51" s="83"/>
    </row>
    <row r="52" ht="17.25" hidden="1" spans="2:10">
      <c r="B52" s="75"/>
      <c r="C52" s="86" t="s">
        <v>149</v>
      </c>
      <c r="D52" s="80"/>
      <c r="E52" s="80"/>
      <c r="F52" s="82"/>
      <c r="G52" s="81"/>
      <c r="H52" s="82"/>
      <c r="I52" s="83"/>
      <c r="J52" s="83"/>
    </row>
    <row r="53" hidden="1"/>
    <row r="54" ht="14.25" hidden="1"/>
    <row r="55" ht="17.25" hidden="1" spans="2:10">
      <c r="B55" s="73"/>
      <c r="C55" s="74" t="s">
        <v>129</v>
      </c>
      <c r="D55" s="74" t="s">
        <v>130</v>
      </c>
      <c r="E55" s="74" t="s">
        <v>131</v>
      </c>
      <c r="F55" s="74" t="s">
        <v>132</v>
      </c>
      <c r="G55" s="74" t="s">
        <v>8</v>
      </c>
      <c r="H55" s="74" t="s">
        <v>134</v>
      </c>
      <c r="I55" s="74" t="s">
        <v>156</v>
      </c>
    </row>
    <row r="56" ht="32" hidden="1" customHeight="1" spans="2:10">
      <c r="B56" s="75" t="s">
        <v>137</v>
      </c>
      <c r="C56" s="76" t="s">
        <v>138</v>
      </c>
      <c r="D56" s="87">
        <v>140000</v>
      </c>
      <c r="E56" s="87">
        <v>140000</v>
      </c>
      <c r="F56" s="88">
        <v>107000</v>
      </c>
      <c r="G56" s="76" t="s">
        <v>157</v>
      </c>
      <c r="H56" s="88">
        <v>-33000</v>
      </c>
      <c r="I56" s="89" t="s">
        <v>158</v>
      </c>
    </row>
    <row r="57" ht="17.25" hidden="1" spans="2:10">
      <c r="B57" s="75"/>
      <c r="C57" s="78" t="s">
        <v>139</v>
      </c>
      <c r="D57" s="90">
        <v>40000</v>
      </c>
      <c r="E57" s="90">
        <v>40000</v>
      </c>
      <c r="F57" s="91">
        <v>23000</v>
      </c>
      <c r="G57" s="78" t="s">
        <v>157</v>
      </c>
      <c r="H57" s="91">
        <v>-17000</v>
      </c>
      <c r="I57" s="92" t="s">
        <v>159</v>
      </c>
    </row>
    <row r="58" ht="17.25" hidden="1" spans="2:10">
      <c r="B58" s="75"/>
      <c r="C58" s="76" t="s">
        <v>140</v>
      </c>
      <c r="D58" s="87">
        <v>20000</v>
      </c>
      <c r="E58" s="87">
        <v>20000</v>
      </c>
      <c r="F58" s="87">
        <v>24646.39</v>
      </c>
      <c r="G58" s="76" t="s">
        <v>157</v>
      </c>
      <c r="H58" s="76">
        <v>4646.39</v>
      </c>
      <c r="I58" s="89" t="s">
        <v>160</v>
      </c>
    </row>
    <row r="59" ht="21.75" hidden="1" spans="2:10">
      <c r="B59" s="75"/>
      <c r="C59" s="78" t="s">
        <v>141</v>
      </c>
      <c r="D59" s="82">
        <v>200000</v>
      </c>
      <c r="E59" s="82">
        <v>200000</v>
      </c>
      <c r="F59" s="82">
        <v>154646.39</v>
      </c>
      <c r="G59" s="81"/>
      <c r="H59" s="82">
        <v>-45353.61</v>
      </c>
      <c r="I59" s="81"/>
    </row>
    <row r="60" ht="17.25" hidden="1" spans="2:10">
      <c r="B60" s="75" t="s">
        <v>142</v>
      </c>
      <c r="C60" s="76" t="s">
        <v>143</v>
      </c>
      <c r="D60" s="88">
        <v>300000</v>
      </c>
      <c r="E60" s="88">
        <v>300000</v>
      </c>
      <c r="F60" s="87">
        <v>300289.75</v>
      </c>
      <c r="G60" s="76" t="s">
        <v>157</v>
      </c>
      <c r="H60" s="76">
        <v>289.75</v>
      </c>
      <c r="I60" s="89" t="s">
        <v>160</v>
      </c>
    </row>
    <row r="61" ht="27.75" hidden="1" spans="2:10">
      <c r="B61" s="75"/>
      <c r="C61" s="78" t="s">
        <v>144</v>
      </c>
      <c r="D61" s="78" t="s">
        <v>161</v>
      </c>
      <c r="E61" s="78" t="s">
        <v>162</v>
      </c>
      <c r="F61" s="90">
        <v>12719.7</v>
      </c>
      <c r="G61" s="78" t="s">
        <v>157</v>
      </c>
      <c r="H61" s="90">
        <v>-67280.3</v>
      </c>
      <c r="I61" s="92" t="s">
        <v>163</v>
      </c>
    </row>
    <row r="62" ht="27.75" hidden="1" spans="2:10">
      <c r="B62" s="75"/>
      <c r="C62" s="76" t="s">
        <v>145</v>
      </c>
      <c r="D62" s="76" t="s">
        <v>164</v>
      </c>
      <c r="E62" s="76" t="s">
        <v>164</v>
      </c>
      <c r="F62" s="88">
        <v>52848</v>
      </c>
      <c r="G62" s="76" t="s">
        <v>157</v>
      </c>
      <c r="H62" s="76">
        <v>2848</v>
      </c>
      <c r="I62" s="89" t="s">
        <v>165</v>
      </c>
    </row>
    <row r="63" ht="27.75" hidden="1" spans="2:10">
      <c r="B63" s="75"/>
      <c r="C63" s="78" t="s">
        <v>146</v>
      </c>
      <c r="D63" s="91">
        <v>40000</v>
      </c>
      <c r="E63" s="91">
        <v>40000</v>
      </c>
      <c r="F63" s="90">
        <v>18726.88</v>
      </c>
      <c r="G63" s="78" t="s">
        <v>157</v>
      </c>
      <c r="H63" s="90">
        <v>-21273.12</v>
      </c>
      <c r="I63" s="92" t="s">
        <v>166</v>
      </c>
    </row>
    <row r="64" ht="54.75" hidden="1" spans="2:10">
      <c r="B64" s="75"/>
      <c r="C64" s="76" t="s">
        <v>147</v>
      </c>
      <c r="D64" s="76" t="s">
        <v>167</v>
      </c>
      <c r="E64" s="76" t="s">
        <v>168</v>
      </c>
      <c r="F64" s="87">
        <v>120726.88</v>
      </c>
      <c r="G64" s="76" t="s">
        <v>157</v>
      </c>
      <c r="H64" s="87">
        <v>17226.88</v>
      </c>
      <c r="I64" s="89" t="s">
        <v>169</v>
      </c>
    </row>
    <row r="65" ht="17.25" hidden="1" spans="1:12">
      <c r="B65" s="75"/>
      <c r="C65" s="84" t="s">
        <v>148</v>
      </c>
      <c r="D65" s="80">
        <v>583500</v>
      </c>
      <c r="E65" s="93" t="s">
        <v>170</v>
      </c>
      <c r="F65" s="82">
        <v>505311.21</v>
      </c>
      <c r="G65" s="81"/>
      <c r="H65" s="82">
        <v>-78188.79</v>
      </c>
      <c r="I65" s="81"/>
    </row>
    <row r="66" ht="14.25" hidden="1" spans="1:12">
      <c r="B66" s="75"/>
      <c r="C66" s="85"/>
      <c r="D66" s="80"/>
      <c r="E66" s="93"/>
      <c r="F66" s="82"/>
      <c r="G66" s="81"/>
      <c r="H66" s="82"/>
      <c r="I66" s="81"/>
    </row>
    <row r="67" ht="17.25" hidden="1" spans="1:12">
      <c r="B67" s="75"/>
      <c r="C67" s="86" t="s">
        <v>149</v>
      </c>
      <c r="D67" s="80"/>
      <c r="E67" s="93"/>
      <c r="F67" s="82"/>
      <c r="G67" s="81"/>
      <c r="H67" s="82"/>
      <c r="I67" s="81"/>
    </row>
    <row r="72" ht="22.5" spans="1:12">
      <c r="A72" s="1" t="s">
        <v>150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6.5" spans="1:12">
      <c r="A73" s="2" t="s">
        <v>1</v>
      </c>
      <c r="B73" s="2"/>
      <c r="C73" s="2"/>
      <c r="D73" s="2" t="s">
        <v>2</v>
      </c>
      <c r="E73" s="2" t="s">
        <v>3</v>
      </c>
      <c r="F73" s="2"/>
      <c r="G73" s="2"/>
      <c r="H73" s="2"/>
      <c r="I73" s="2"/>
      <c r="J73" s="2"/>
      <c r="K73" s="2"/>
      <c r="L73" s="2"/>
    </row>
    <row r="74" ht="16.5" spans="1:12">
      <c r="A74" s="2"/>
      <c r="B74" s="2"/>
      <c r="C74" s="2"/>
      <c r="D74" s="2"/>
      <c r="E74" s="2" t="s">
        <v>88</v>
      </c>
      <c r="F74" s="2"/>
      <c r="G74" s="36" t="s">
        <v>89</v>
      </c>
      <c r="H74" s="37"/>
      <c r="I74" s="2" t="s">
        <v>90</v>
      </c>
      <c r="J74" s="2"/>
      <c r="K74" s="2" t="s">
        <v>6</v>
      </c>
      <c r="L74" s="2"/>
    </row>
    <row r="75" ht="16.5" spans="1:12">
      <c r="A75" s="2"/>
      <c r="B75" s="2"/>
      <c r="C75" s="2"/>
      <c r="D75" s="2"/>
      <c r="E75" s="2" t="s">
        <v>91</v>
      </c>
      <c r="F75" s="2" t="s">
        <v>8</v>
      </c>
      <c r="G75" s="2" t="s">
        <v>7</v>
      </c>
      <c r="H75" s="2" t="s">
        <v>8</v>
      </c>
      <c r="I75" s="2" t="s">
        <v>9</v>
      </c>
      <c r="J75" s="2" t="s">
        <v>8</v>
      </c>
      <c r="K75" s="2" t="s">
        <v>10</v>
      </c>
      <c r="L75" s="2" t="s">
        <v>11</v>
      </c>
    </row>
    <row r="76" ht="16.5" spans="1:12">
      <c r="A76" s="36" t="s">
        <v>92</v>
      </c>
      <c r="B76" s="38"/>
      <c r="C76" s="37"/>
      <c r="D76" s="39" t="s">
        <v>93</v>
      </c>
      <c r="E76" s="40">
        <v>110000</v>
      </c>
      <c r="F76" s="2"/>
      <c r="G76" s="40">
        <v>140000</v>
      </c>
      <c r="H76" s="41"/>
      <c r="I76" s="41">
        <v>184400</v>
      </c>
      <c r="J76" s="2"/>
      <c r="K76" s="2">
        <f t="shared" ref="K76:K79" si="3">I76-G76</f>
        <v>44400</v>
      </c>
      <c r="L76" s="6"/>
    </row>
    <row r="77" ht="16.5" spans="1:12">
      <c r="A77" s="36" t="s">
        <v>94</v>
      </c>
      <c r="B77" s="38"/>
      <c r="C77" s="37"/>
      <c r="D77" s="39" t="s">
        <v>95</v>
      </c>
      <c r="E77" s="40">
        <v>50000</v>
      </c>
      <c r="F77" s="2"/>
      <c r="G77" s="40">
        <v>80000</v>
      </c>
      <c r="H77" s="41"/>
      <c r="I77" s="41">
        <v>104851.76</v>
      </c>
      <c r="J77" s="2"/>
      <c r="K77" s="2">
        <f t="shared" si="3"/>
        <v>24851.76</v>
      </c>
      <c r="L77" s="6"/>
    </row>
    <row r="78" ht="16.5" spans="1:12">
      <c r="A78" s="36" t="s">
        <v>96</v>
      </c>
      <c r="B78" s="38"/>
      <c r="C78" s="37"/>
      <c r="D78" s="39" t="s">
        <v>97</v>
      </c>
      <c r="E78" s="40">
        <v>20000</v>
      </c>
      <c r="F78" s="2"/>
      <c r="G78" s="40">
        <v>20000</v>
      </c>
      <c r="H78" s="41"/>
      <c r="I78" s="41">
        <v>23505</v>
      </c>
      <c r="J78" s="2"/>
      <c r="K78" s="2">
        <f t="shared" si="3"/>
        <v>3505</v>
      </c>
      <c r="L78" s="6"/>
    </row>
    <row r="79" ht="22.5" spans="1:12">
      <c r="A79" s="42" t="s">
        <v>98</v>
      </c>
      <c r="B79" s="43"/>
      <c r="C79" s="43"/>
      <c r="D79" s="43"/>
      <c r="E79" s="44">
        <f t="shared" ref="E79:I79" si="4">SUM(E76:E78)</f>
        <v>180000</v>
      </c>
      <c r="F79" s="12"/>
      <c r="G79" s="44">
        <f t="shared" si="4"/>
        <v>240000</v>
      </c>
      <c r="H79" s="10"/>
      <c r="I79" s="44">
        <f t="shared" si="4"/>
        <v>312756.76</v>
      </c>
      <c r="J79" s="12"/>
      <c r="K79" s="11">
        <f t="shared" si="3"/>
        <v>72756.76</v>
      </c>
      <c r="L79" s="12"/>
    </row>
    <row r="80" ht="16.5" spans="1:12">
      <c r="A80" s="45" t="s">
        <v>21</v>
      </c>
      <c r="B80" s="45"/>
      <c r="C80" s="3" t="s">
        <v>22</v>
      </c>
      <c r="D80" s="39" t="s">
        <v>99</v>
      </c>
      <c r="E80" s="14">
        <v>280000</v>
      </c>
      <c r="F80" s="15"/>
      <c r="G80" s="14">
        <v>280000</v>
      </c>
      <c r="H80" s="46"/>
      <c r="I80" s="46">
        <v>310138.44</v>
      </c>
      <c r="J80" s="15"/>
      <c r="K80" s="14">
        <f t="shared" ref="K80:K90" si="5">I80-E80</f>
        <v>30138.44</v>
      </c>
      <c r="L80" s="15">
        <f t="shared" ref="L80:L90" si="6">K80/E80</f>
        <v>0.107637285714286</v>
      </c>
    </row>
    <row r="81" ht="16.5" spans="1:12">
      <c r="A81" s="45"/>
      <c r="B81" s="45"/>
      <c r="C81" s="3" t="s">
        <v>24</v>
      </c>
      <c r="D81" s="39" t="s">
        <v>100</v>
      </c>
      <c r="E81" s="14">
        <v>115000</v>
      </c>
      <c r="F81" s="15"/>
      <c r="G81" s="14">
        <v>105000</v>
      </c>
      <c r="H81" s="46"/>
      <c r="I81" s="46">
        <v>43100.5</v>
      </c>
      <c r="J81" s="15"/>
      <c r="K81" s="14">
        <f t="shared" si="5"/>
        <v>-71899.5</v>
      </c>
      <c r="L81" s="15">
        <f t="shared" si="6"/>
        <v>-0.625213043478261</v>
      </c>
    </row>
    <row r="82" ht="16.5" spans="1:12">
      <c r="A82" s="45"/>
      <c r="B82" s="45"/>
      <c r="C82" s="3" t="s">
        <v>26</v>
      </c>
      <c r="D82" s="39" t="s">
        <v>101</v>
      </c>
      <c r="E82" s="14">
        <v>30000</v>
      </c>
      <c r="F82" s="15"/>
      <c r="G82" s="14">
        <v>20000</v>
      </c>
      <c r="H82" s="46"/>
      <c r="I82" s="46">
        <v>8403.33</v>
      </c>
      <c r="J82" s="15"/>
      <c r="K82" s="14">
        <f t="shared" si="5"/>
        <v>-21596.67</v>
      </c>
      <c r="L82" s="15">
        <f t="shared" si="6"/>
        <v>-0.719889</v>
      </c>
    </row>
    <row r="83" ht="16.5" spans="1:12">
      <c r="A83" s="45"/>
      <c r="B83" s="45"/>
      <c r="C83" s="3" t="s">
        <v>28</v>
      </c>
      <c r="D83" s="39" t="s">
        <v>102</v>
      </c>
      <c r="E83" s="14">
        <v>20000</v>
      </c>
      <c r="F83" s="15"/>
      <c r="G83" s="14">
        <v>20000</v>
      </c>
      <c r="H83" s="46"/>
      <c r="I83" s="46">
        <v>72333.9</v>
      </c>
      <c r="J83" s="15"/>
      <c r="K83" s="14">
        <f t="shared" si="5"/>
        <v>52333.9</v>
      </c>
      <c r="L83" s="15">
        <f t="shared" si="6"/>
        <v>2.616695</v>
      </c>
    </row>
    <row r="84" ht="16.5" spans="1:12">
      <c r="A84" s="45"/>
      <c r="B84" s="45"/>
      <c r="C84" s="3" t="s">
        <v>30</v>
      </c>
      <c r="D84" s="39" t="s">
        <v>103</v>
      </c>
      <c r="E84" s="14">
        <v>143400</v>
      </c>
      <c r="F84" s="15"/>
      <c r="G84" s="14">
        <v>143400</v>
      </c>
      <c r="H84" s="14"/>
      <c r="I84" s="14">
        <v>123928.59</v>
      </c>
      <c r="J84" s="15"/>
      <c r="K84" s="14">
        <f t="shared" si="5"/>
        <v>-19471.41</v>
      </c>
      <c r="L84" s="15">
        <f t="shared" si="6"/>
        <v>-0.135783891213389</v>
      </c>
    </row>
    <row r="85" ht="16.5" spans="1:12">
      <c r="A85" s="45"/>
      <c r="B85" s="45"/>
      <c r="C85" s="3" t="s">
        <v>32</v>
      </c>
      <c r="D85" s="39" t="s">
        <v>104</v>
      </c>
      <c r="E85" s="14"/>
      <c r="F85" s="15"/>
      <c r="G85" s="14"/>
      <c r="H85" s="14"/>
      <c r="I85" s="14"/>
      <c r="J85" s="15"/>
      <c r="K85" s="14">
        <f t="shared" si="5"/>
        <v>0</v>
      </c>
      <c r="L85" s="15" t="e">
        <f t="shared" si="6"/>
        <v>#DIV/0!</v>
      </c>
    </row>
    <row r="86" ht="16.5" spans="1:12">
      <c r="A86" s="45"/>
      <c r="B86" s="45"/>
      <c r="C86" s="3" t="s">
        <v>34</v>
      </c>
      <c r="D86" s="39" t="s">
        <v>105</v>
      </c>
      <c r="E86" s="14"/>
      <c r="F86" s="15"/>
      <c r="G86" s="14"/>
      <c r="H86" s="14"/>
      <c r="I86" s="14"/>
      <c r="J86" s="15"/>
      <c r="K86" s="14">
        <f t="shared" si="5"/>
        <v>0</v>
      </c>
      <c r="L86" s="15" t="e">
        <f t="shared" si="6"/>
        <v>#DIV/0!</v>
      </c>
    </row>
    <row r="87" ht="16.5" spans="1:12">
      <c r="A87" s="45"/>
      <c r="B87" s="45"/>
      <c r="C87" s="47" t="s">
        <v>40</v>
      </c>
      <c r="D87" s="39" t="s">
        <v>106</v>
      </c>
      <c r="E87" s="14">
        <v>500</v>
      </c>
      <c r="F87" s="14"/>
      <c r="G87" s="14">
        <v>500</v>
      </c>
      <c r="H87" s="14"/>
      <c r="I87" s="14">
        <v>500</v>
      </c>
      <c r="J87" s="15"/>
      <c r="K87" s="14">
        <f t="shared" si="5"/>
        <v>0</v>
      </c>
      <c r="L87" s="15">
        <f t="shared" si="6"/>
        <v>0</v>
      </c>
    </row>
    <row r="88" ht="16.5" spans="1:12">
      <c r="A88" s="45"/>
      <c r="B88" s="45"/>
      <c r="C88" s="48" t="s">
        <v>42</v>
      </c>
      <c r="D88" s="39" t="s">
        <v>107</v>
      </c>
      <c r="E88" s="14"/>
      <c r="F88" s="14"/>
      <c r="G88" s="14"/>
      <c r="H88" s="14"/>
      <c r="I88" s="14"/>
      <c r="J88" s="15"/>
      <c r="K88" s="14">
        <f t="shared" si="5"/>
        <v>0</v>
      </c>
      <c r="L88" s="15" t="e">
        <f t="shared" si="6"/>
        <v>#DIV/0!</v>
      </c>
    </row>
    <row r="89" ht="16.5" spans="1:12">
      <c r="A89" s="45"/>
      <c r="B89" s="45"/>
      <c r="C89" s="48" t="s">
        <v>44</v>
      </c>
      <c r="D89" s="39" t="s">
        <v>108</v>
      </c>
      <c r="E89" s="14">
        <v>482.5</v>
      </c>
      <c r="F89" s="14"/>
      <c r="G89" s="14">
        <v>482.5</v>
      </c>
      <c r="H89" s="14"/>
      <c r="I89" s="14">
        <v>482.5</v>
      </c>
      <c r="J89" s="15"/>
      <c r="K89" s="14">
        <f t="shared" si="5"/>
        <v>0</v>
      </c>
      <c r="L89" s="15">
        <f t="shared" si="6"/>
        <v>0</v>
      </c>
    </row>
    <row r="90" ht="22.5" spans="1:12">
      <c r="A90" s="49" t="s">
        <v>46</v>
      </c>
      <c r="B90" s="49"/>
      <c r="C90" s="49"/>
      <c r="D90" s="50" t="s">
        <v>18</v>
      </c>
      <c r="E90" s="44">
        <f t="shared" ref="E90:I90" si="7">SUM(E80:E89)</f>
        <v>589382.5</v>
      </c>
      <c r="F90" s="44"/>
      <c r="G90" s="51">
        <f t="shared" si="7"/>
        <v>569382.5</v>
      </c>
      <c r="H90" s="51"/>
      <c r="I90" s="51">
        <f t="shared" si="7"/>
        <v>558887.26</v>
      </c>
      <c r="J90" s="52"/>
      <c r="K90" s="44">
        <f t="shared" si="5"/>
        <v>-30495.24</v>
      </c>
      <c r="L90" s="52">
        <f t="shared" si="6"/>
        <v>-0.0517410001145266</v>
      </c>
    </row>
    <row r="91" ht="16.5" spans="1:12">
      <c r="A91" s="3" t="s">
        <v>61</v>
      </c>
      <c r="B91" s="3"/>
      <c r="C91" s="3" t="s">
        <v>62</v>
      </c>
      <c r="D91" s="39" t="s">
        <v>109</v>
      </c>
      <c r="E91" s="3">
        <v>13</v>
      </c>
      <c r="F91" s="3"/>
      <c r="G91" s="3"/>
      <c r="H91" s="3"/>
      <c r="I91" s="3">
        <v>13</v>
      </c>
      <c r="J91" s="3"/>
      <c r="K91" s="14"/>
      <c r="L91" s="14"/>
    </row>
    <row r="92" ht="16.5" spans="1:12">
      <c r="A92" s="3"/>
      <c r="B92" s="3"/>
      <c r="C92" s="3" t="s">
        <v>64</v>
      </c>
      <c r="D92" s="39" t="s">
        <v>110</v>
      </c>
      <c r="E92" s="3">
        <v>0</v>
      </c>
      <c r="F92" s="3"/>
      <c r="G92" s="3"/>
      <c r="H92" s="3"/>
      <c r="I92" s="3">
        <v>0</v>
      </c>
      <c r="J92" s="3"/>
      <c r="K92" s="14"/>
      <c r="L92" s="14"/>
    </row>
    <row r="93" ht="16.5" spans="1:12">
      <c r="A93" s="3"/>
      <c r="B93" s="3"/>
      <c r="C93" s="3" t="s">
        <v>66</v>
      </c>
      <c r="D93" s="39" t="s">
        <v>111</v>
      </c>
      <c r="E93" s="30">
        <v>13</v>
      </c>
      <c r="F93" s="30"/>
      <c r="G93" s="30"/>
      <c r="H93" s="30"/>
      <c r="I93" s="30">
        <v>13</v>
      </c>
      <c r="J93" s="30"/>
      <c r="K93" s="14"/>
      <c r="L93" s="14"/>
    </row>
    <row r="94" ht="16.5" spans="1:12">
      <c r="A94" s="3" t="s">
        <v>68</v>
      </c>
      <c r="B94" s="3"/>
      <c r="C94" s="3" t="s">
        <v>69</v>
      </c>
      <c r="D94" s="39" t="s">
        <v>112</v>
      </c>
      <c r="E94" s="30"/>
      <c r="F94" s="30"/>
      <c r="G94" s="30"/>
      <c r="H94" s="30"/>
      <c r="I94" s="30">
        <v>2080</v>
      </c>
      <c r="J94" s="30"/>
      <c r="K94" s="14"/>
      <c r="L94" s="14"/>
    </row>
    <row r="95" ht="16.5" spans="1:12">
      <c r="A95" s="3"/>
      <c r="B95" s="3"/>
      <c r="C95" s="3" t="s">
        <v>71</v>
      </c>
      <c r="D95" s="39" t="s">
        <v>23</v>
      </c>
      <c r="E95" s="30"/>
      <c r="F95" s="30"/>
      <c r="G95" s="30"/>
      <c r="H95" s="30"/>
      <c r="I95" s="30"/>
      <c r="J95" s="30"/>
      <c r="K95" s="14"/>
      <c r="L95" s="14"/>
    </row>
    <row r="96" ht="16.5" spans="1:12">
      <c r="A96" s="3"/>
      <c r="B96" s="3"/>
      <c r="C96" s="3" t="s">
        <v>73</v>
      </c>
      <c r="D96" s="39" t="s">
        <v>113</v>
      </c>
      <c r="E96" s="30"/>
      <c r="F96" s="30"/>
      <c r="G96" s="30"/>
      <c r="H96" s="30"/>
      <c r="I96" s="30"/>
      <c r="J96" s="30"/>
      <c r="K96" s="14"/>
      <c r="L96" s="14"/>
    </row>
    <row r="97" ht="16.5" spans="1:12">
      <c r="A97" s="10" t="s">
        <v>77</v>
      </c>
      <c r="B97" s="10"/>
      <c r="C97" s="10"/>
      <c r="D97" s="29" t="s">
        <v>78</v>
      </c>
      <c r="E97" s="32"/>
      <c r="F97" s="32"/>
      <c r="G97" s="11"/>
      <c r="H97" s="11"/>
      <c r="I97" s="11"/>
      <c r="J97" s="11"/>
      <c r="K97" s="32"/>
      <c r="L97" s="32"/>
    </row>
    <row r="98" ht="16.5" spans="1:12">
      <c r="A98" s="53"/>
      <c r="B98" s="53"/>
      <c r="C98" s="8"/>
      <c r="D98" s="54" t="s">
        <v>2</v>
      </c>
      <c r="E98" s="2" t="s">
        <v>88</v>
      </c>
      <c r="F98" s="2"/>
      <c r="G98" s="36" t="s">
        <v>89</v>
      </c>
      <c r="H98" s="37"/>
      <c r="I98" s="2" t="s">
        <v>90</v>
      </c>
      <c r="J98" s="2"/>
      <c r="K98" s="2" t="s">
        <v>6</v>
      </c>
      <c r="L98" s="2"/>
    </row>
    <row r="99" ht="22.5" spans="1:12">
      <c r="A99" s="55"/>
      <c r="B99" s="55"/>
      <c r="C99" s="55"/>
      <c r="D99" s="56"/>
      <c r="E99" s="2" t="s">
        <v>91</v>
      </c>
      <c r="F99" s="2" t="s">
        <v>8</v>
      </c>
      <c r="G99" s="2" t="s">
        <v>7</v>
      </c>
      <c r="H99" s="2" t="s">
        <v>8</v>
      </c>
      <c r="I99" s="2" t="s">
        <v>9</v>
      </c>
      <c r="J99" s="2" t="s">
        <v>8</v>
      </c>
      <c r="K99" s="2" t="s">
        <v>10</v>
      </c>
      <c r="L99" s="2" t="s">
        <v>11</v>
      </c>
    </row>
    <row r="100" ht="16.5" spans="1:12">
      <c r="A100" s="45" t="s">
        <v>114</v>
      </c>
      <c r="B100" s="45"/>
      <c r="C100" s="57" t="s">
        <v>115</v>
      </c>
      <c r="D100" s="58" t="s">
        <v>116</v>
      </c>
      <c r="E100" s="59">
        <v>1700000</v>
      </c>
      <c r="F100" s="60"/>
      <c r="G100" s="59">
        <v>1700000</v>
      </c>
      <c r="H100" s="61"/>
      <c r="I100" s="61">
        <v>1405028</v>
      </c>
      <c r="J100" s="60"/>
      <c r="K100" s="60">
        <f>I100-E100</f>
        <v>-294972</v>
      </c>
      <c r="L100" s="62">
        <f>K100/E100</f>
        <v>-0.173512941176471</v>
      </c>
    </row>
    <row r="101" ht="16.5" spans="1:12">
      <c r="A101" s="45"/>
      <c r="B101" s="45"/>
      <c r="C101" s="63" t="s">
        <v>117</v>
      </c>
      <c r="D101" s="14" t="s">
        <v>118</v>
      </c>
      <c r="E101" s="14">
        <v>1050000</v>
      </c>
      <c r="F101" s="14"/>
      <c r="G101" s="14">
        <v>1050000</v>
      </c>
      <c r="H101" s="27"/>
      <c r="I101" s="27">
        <v>1538000</v>
      </c>
      <c r="J101" s="15"/>
      <c r="K101" s="14">
        <f t="shared" ref="K101:K106" si="8">I101-G101</f>
        <v>488000</v>
      </c>
      <c r="L101" s="15"/>
    </row>
    <row r="102" ht="16.5" spans="1:12">
      <c r="A102" s="45"/>
      <c r="B102" s="45"/>
      <c r="C102" s="63" t="s">
        <v>119</v>
      </c>
      <c r="D102" s="14" t="s">
        <v>120</v>
      </c>
      <c r="E102" s="14">
        <v>100000</v>
      </c>
      <c r="F102" s="14"/>
      <c r="G102" s="14">
        <v>100000</v>
      </c>
      <c r="H102" s="27"/>
      <c r="I102" s="27">
        <v>151000</v>
      </c>
      <c r="J102" s="15"/>
      <c r="K102" s="14">
        <f t="shared" si="8"/>
        <v>51000</v>
      </c>
      <c r="L102" s="15"/>
    </row>
    <row r="103" ht="16.5" spans="1:12">
      <c r="A103" s="45"/>
      <c r="B103" s="45"/>
      <c r="C103" s="63" t="s">
        <v>121</v>
      </c>
      <c r="D103" s="14" t="s">
        <v>122</v>
      </c>
      <c r="E103" s="14">
        <v>50000</v>
      </c>
      <c r="F103" s="14"/>
      <c r="G103" s="14">
        <v>50000</v>
      </c>
      <c r="H103" s="27"/>
      <c r="I103" s="27">
        <v>275800</v>
      </c>
      <c r="J103" s="15"/>
      <c r="K103" s="14">
        <f t="shared" si="8"/>
        <v>225800</v>
      </c>
      <c r="L103" s="15"/>
    </row>
    <row r="104" ht="16.5" spans="1:12">
      <c r="A104" s="45"/>
      <c r="B104" s="45"/>
      <c r="C104" s="63" t="s">
        <v>123</v>
      </c>
      <c r="D104" s="14" t="s">
        <v>124</v>
      </c>
      <c r="E104" s="14">
        <v>1300000</v>
      </c>
      <c r="F104" s="14"/>
      <c r="G104" s="14">
        <v>1300000</v>
      </c>
      <c r="H104" s="27"/>
      <c r="I104" s="27">
        <v>1608000</v>
      </c>
      <c r="J104" s="15"/>
      <c r="K104" s="14">
        <f t="shared" si="8"/>
        <v>308000</v>
      </c>
      <c r="L104" s="15"/>
    </row>
    <row r="105" ht="16.5" spans="1:12">
      <c r="A105" s="45"/>
      <c r="B105" s="45"/>
      <c r="C105" s="64" t="s">
        <v>125</v>
      </c>
      <c r="D105" s="58" t="s">
        <v>126</v>
      </c>
      <c r="E105" s="21">
        <f t="shared" ref="E105:I105" si="9">SUM(E101:E104)</f>
        <v>2500000</v>
      </c>
      <c r="F105" s="21"/>
      <c r="G105" s="65">
        <f t="shared" si="9"/>
        <v>2500000</v>
      </c>
      <c r="H105" s="65"/>
      <c r="I105" s="65">
        <f t="shared" si="9"/>
        <v>3572800</v>
      </c>
      <c r="J105" s="66"/>
      <c r="K105" s="21">
        <f t="shared" si="8"/>
        <v>1072800</v>
      </c>
      <c r="L105" s="66"/>
    </row>
    <row r="106" ht="16.5" spans="1:12">
      <c r="A106" s="45"/>
      <c r="B106" s="45"/>
      <c r="C106" s="64" t="s">
        <v>127</v>
      </c>
      <c r="D106" s="58" t="s">
        <v>128</v>
      </c>
      <c r="E106" s="67">
        <v>23000000</v>
      </c>
      <c r="F106" s="21"/>
      <c r="G106" s="67">
        <v>23000000</v>
      </c>
      <c r="H106" s="65"/>
      <c r="I106" s="61">
        <v>32550771.4</v>
      </c>
      <c r="J106" s="66"/>
      <c r="K106" s="21">
        <f t="shared" si="8"/>
        <v>9550771.4</v>
      </c>
      <c r="L106" s="66"/>
    </row>
    <row r="107" ht="16.5" spans="1:12">
      <c r="A107" s="70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2"/>
    </row>
  </sheetData>
  <mergeCells count="107">
    <mergeCell ref="A1:L1"/>
    <mergeCell ref="E2:L2"/>
    <mergeCell ref="E3:F3"/>
    <mergeCell ref="G3:H3"/>
    <mergeCell ref="I3:J3"/>
    <mergeCell ref="K3:L3"/>
    <mergeCell ref="A5:C5"/>
    <mergeCell ref="A6:C6"/>
    <mergeCell ref="A7:C7"/>
    <mergeCell ref="A8:D8"/>
    <mergeCell ref="A19:C19"/>
    <mergeCell ref="E20:F20"/>
    <mergeCell ref="I20:J20"/>
    <mergeCell ref="K20:L20"/>
    <mergeCell ref="E21:F21"/>
    <mergeCell ref="I21:J21"/>
    <mergeCell ref="K21:L21"/>
    <mergeCell ref="E22:F22"/>
    <mergeCell ref="I22:J22"/>
    <mergeCell ref="K22:L22"/>
    <mergeCell ref="E23:F23"/>
    <mergeCell ref="I23:J23"/>
    <mergeCell ref="K23:L23"/>
    <mergeCell ref="E24:F24"/>
    <mergeCell ref="I24:J24"/>
    <mergeCell ref="K24:L24"/>
    <mergeCell ref="E25:F25"/>
    <mergeCell ref="I25:J25"/>
    <mergeCell ref="K25:L25"/>
    <mergeCell ref="A26:C26"/>
    <mergeCell ref="E26:F26"/>
    <mergeCell ref="I26:J26"/>
    <mergeCell ref="K26:L26"/>
    <mergeCell ref="E27:F27"/>
    <mergeCell ref="G27:H27"/>
    <mergeCell ref="I27:J27"/>
    <mergeCell ref="K27:L27"/>
    <mergeCell ref="A36:L36"/>
    <mergeCell ref="A72:L72"/>
    <mergeCell ref="E73:L73"/>
    <mergeCell ref="E74:F74"/>
    <mergeCell ref="G74:H74"/>
    <mergeCell ref="I74:J74"/>
    <mergeCell ref="K74:L74"/>
    <mergeCell ref="A76:C76"/>
    <mergeCell ref="A77:C77"/>
    <mergeCell ref="A78:C78"/>
    <mergeCell ref="A79:D79"/>
    <mergeCell ref="A90:C90"/>
    <mergeCell ref="E91:F91"/>
    <mergeCell ref="I91:J91"/>
    <mergeCell ref="K91:L91"/>
    <mergeCell ref="E92:F92"/>
    <mergeCell ref="I92:J92"/>
    <mergeCell ref="K92:L92"/>
    <mergeCell ref="E93:F93"/>
    <mergeCell ref="I93:J93"/>
    <mergeCell ref="K93:L93"/>
    <mergeCell ref="E94:F94"/>
    <mergeCell ref="I94:J94"/>
    <mergeCell ref="K94:L94"/>
    <mergeCell ref="E95:F95"/>
    <mergeCell ref="I95:J95"/>
    <mergeCell ref="K95:L95"/>
    <mergeCell ref="E96:F96"/>
    <mergeCell ref="I96:J96"/>
    <mergeCell ref="K96:L96"/>
    <mergeCell ref="A97:C97"/>
    <mergeCell ref="E97:F97"/>
    <mergeCell ref="I97:J97"/>
    <mergeCell ref="K97:L97"/>
    <mergeCell ref="E98:F98"/>
    <mergeCell ref="G98:H98"/>
    <mergeCell ref="I98:J98"/>
    <mergeCell ref="K98:L98"/>
    <mergeCell ref="A107:L107"/>
    <mergeCell ref="B41:B44"/>
    <mergeCell ref="B45:B52"/>
    <mergeCell ref="B56:B59"/>
    <mergeCell ref="B60:B67"/>
    <mergeCell ref="D2:D4"/>
    <mergeCell ref="D27:D28"/>
    <mergeCell ref="D50:D52"/>
    <mergeCell ref="D65:D67"/>
    <mergeCell ref="D73:D75"/>
    <mergeCell ref="D98:D99"/>
    <mergeCell ref="E50:E52"/>
    <mergeCell ref="E65:E67"/>
    <mergeCell ref="F50:F52"/>
    <mergeCell ref="F65:F67"/>
    <mergeCell ref="G50:G52"/>
    <mergeCell ref="G65:G67"/>
    <mergeCell ref="H50:H52"/>
    <mergeCell ref="H65:H67"/>
    <mergeCell ref="I50:I52"/>
    <mergeCell ref="I65:I67"/>
    <mergeCell ref="J50:J52"/>
    <mergeCell ref="A2:C4"/>
    <mergeCell ref="A9:B18"/>
    <mergeCell ref="A20:B22"/>
    <mergeCell ref="A23:B25"/>
    <mergeCell ref="A29:B35"/>
    <mergeCell ref="A73:C75"/>
    <mergeCell ref="A80:B89"/>
    <mergeCell ref="A91:B93"/>
    <mergeCell ref="A94:B96"/>
    <mergeCell ref="A100:B10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K15"/>
  <sheetViews>
    <sheetView workbookViewId="0">
      <selection activeCell="E59" sqref="E59"/>
    </sheetView>
  </sheetViews>
  <sheetFormatPr defaultColWidth="9" defaultRowHeight="13.5"/>
  <cols>
    <col min="5" max="11" width="28.625" customWidth="1"/>
  </cols>
  <sheetData>
    <row r="2" customHeight="1"/>
    <row r="4" ht="14.25"/>
    <row r="5" ht="17.25" spans="3:11">
      <c r="C5" s="73"/>
      <c r="D5" s="74" t="s">
        <v>129</v>
      </c>
      <c r="E5" s="74" t="s">
        <v>130</v>
      </c>
      <c r="F5" s="74" t="s">
        <v>131</v>
      </c>
      <c r="G5" s="74" t="s">
        <v>132</v>
      </c>
      <c r="H5" s="74" t="s">
        <v>133</v>
      </c>
      <c r="I5" s="74" t="s">
        <v>134</v>
      </c>
      <c r="J5" s="74" t="s">
        <v>135</v>
      </c>
      <c r="K5" s="74" t="s">
        <v>136</v>
      </c>
    </row>
    <row r="6" ht="18" customHeight="1" spans="3:11">
      <c r="C6" s="75" t="s">
        <v>137</v>
      </c>
      <c r="D6" s="76" t="s">
        <v>138</v>
      </c>
      <c r="E6" s="76">
        <v>1300000</v>
      </c>
      <c r="F6" s="76">
        <v>1320000</v>
      </c>
      <c r="G6" s="76">
        <v>1512666.8</v>
      </c>
      <c r="H6" s="77">
        <f>G6/G9</f>
        <v>0.5672426595372</v>
      </c>
      <c r="I6" s="76">
        <f>G6-F6</f>
        <v>192666.8</v>
      </c>
      <c r="J6" s="77">
        <f t="shared" ref="J6:J15" si="0">G6/F6</f>
        <v>1.1459596969697</v>
      </c>
      <c r="K6" s="77">
        <f t="shared" ref="K6:K15" si="1">G6/E6</f>
        <v>1.16358984615385</v>
      </c>
    </row>
    <row r="7" ht="17.25" spans="3:11">
      <c r="C7" s="75"/>
      <c r="D7" s="78" t="s">
        <v>139</v>
      </c>
      <c r="E7" s="78">
        <v>660000</v>
      </c>
      <c r="F7" s="78">
        <v>670000</v>
      </c>
      <c r="G7" s="78">
        <v>906550</v>
      </c>
      <c r="H7" s="79">
        <f>G7/G9</f>
        <v>0.339951820852714</v>
      </c>
      <c r="I7" s="76">
        <f>G7-F7</f>
        <v>236550</v>
      </c>
      <c r="J7" s="79">
        <f t="shared" si="0"/>
        <v>1.35305970149254</v>
      </c>
      <c r="K7" s="79">
        <f t="shared" si="1"/>
        <v>1.37356060606061</v>
      </c>
    </row>
    <row r="8" ht="17.25" spans="3:11">
      <c r="C8" s="75"/>
      <c r="D8" s="76" t="s">
        <v>140</v>
      </c>
      <c r="E8" s="76">
        <v>190000</v>
      </c>
      <c r="F8" s="76">
        <v>210000</v>
      </c>
      <c r="G8" s="76">
        <v>247484.61</v>
      </c>
      <c r="H8" s="77">
        <f>G8/G9</f>
        <v>0.0928055196100864</v>
      </c>
      <c r="I8" s="76">
        <f>G8-F8</f>
        <v>37484.61</v>
      </c>
      <c r="J8" s="77">
        <f t="shared" si="0"/>
        <v>1.17849814285714</v>
      </c>
      <c r="K8" s="77">
        <f t="shared" si="1"/>
        <v>1.30255057894737</v>
      </c>
    </row>
    <row r="9" ht="21.75" spans="3:11">
      <c r="C9" s="75"/>
      <c r="D9" s="78" t="s">
        <v>141</v>
      </c>
      <c r="E9" s="80">
        <f>SUM(E6:E8)</f>
        <v>2150000</v>
      </c>
      <c r="F9" s="80">
        <f>SUM(F6:F8)</f>
        <v>2200000</v>
      </c>
      <c r="G9" s="80">
        <f>SUM(G6:G8)</f>
        <v>2666701.41</v>
      </c>
      <c r="H9" s="81"/>
      <c r="I9" s="82">
        <f>SUM(I6:I8)</f>
        <v>466701.41</v>
      </c>
      <c r="J9" s="83">
        <f t="shared" si="0"/>
        <v>1.21213700454545</v>
      </c>
      <c r="K9" s="83">
        <f t="shared" si="1"/>
        <v>1.2403262372093</v>
      </c>
    </row>
    <row r="10" ht="17.25" spans="3:11">
      <c r="C10" s="75" t="s">
        <v>142</v>
      </c>
      <c r="D10" s="76" t="s">
        <v>143</v>
      </c>
      <c r="E10" s="76">
        <v>2665000</v>
      </c>
      <c r="F10" s="76">
        <v>2717000</v>
      </c>
      <c r="G10" s="76">
        <v>2793409.95</v>
      </c>
      <c r="H10" s="77">
        <f>G10/G15</f>
        <v>0.535301517489696</v>
      </c>
      <c r="I10" s="76">
        <f t="shared" ref="I10:I15" si="2">G10-F10</f>
        <v>76409.9500000002</v>
      </c>
      <c r="J10" s="77">
        <f t="shared" si="0"/>
        <v>1.02812291129923</v>
      </c>
      <c r="K10" s="77">
        <f t="shared" si="1"/>
        <v>1.04818384615385</v>
      </c>
    </row>
    <row r="11" ht="23.25" customHeight="1" spans="3:11">
      <c r="C11" s="75"/>
      <c r="D11" s="78" t="s">
        <v>144</v>
      </c>
      <c r="E11" s="78">
        <v>745000</v>
      </c>
      <c r="F11" s="78">
        <v>705000</v>
      </c>
      <c r="G11" s="78">
        <v>336559</v>
      </c>
      <c r="H11" s="79">
        <f>G11/G15</f>
        <v>0.0644948456007378</v>
      </c>
      <c r="I11" s="78">
        <f t="shared" si="2"/>
        <v>-368441</v>
      </c>
      <c r="J11" s="79">
        <f t="shared" si="0"/>
        <v>0.47738865248227</v>
      </c>
      <c r="K11" s="79">
        <f t="shared" si="1"/>
        <v>0.451757046979866</v>
      </c>
    </row>
    <row r="12" ht="17.25" spans="3:11">
      <c r="C12" s="75"/>
      <c r="D12" s="76" t="s">
        <v>145</v>
      </c>
      <c r="E12" s="76">
        <v>513000</v>
      </c>
      <c r="F12" s="76">
        <v>513000</v>
      </c>
      <c r="G12" s="76">
        <v>398645</v>
      </c>
      <c r="H12" s="77">
        <f>G12/G15</f>
        <v>0.0763923939770029</v>
      </c>
      <c r="I12" s="76">
        <f t="shared" si="2"/>
        <v>-114355</v>
      </c>
      <c r="J12" s="77">
        <f t="shared" si="0"/>
        <v>0.777085769980507</v>
      </c>
      <c r="K12" s="77">
        <f t="shared" si="1"/>
        <v>0.777085769980507</v>
      </c>
    </row>
    <row r="13" ht="17.25" spans="3:11">
      <c r="C13" s="75"/>
      <c r="D13" s="78" t="s">
        <v>146</v>
      </c>
      <c r="E13" s="78">
        <v>230000</v>
      </c>
      <c r="F13" s="78">
        <v>255000</v>
      </c>
      <c r="G13" s="78">
        <v>237626.88</v>
      </c>
      <c r="H13" s="79">
        <f>G13/G15</f>
        <v>0.0455364703846429</v>
      </c>
      <c r="I13" s="78">
        <f t="shared" si="2"/>
        <v>-17373.12</v>
      </c>
      <c r="J13" s="79">
        <f t="shared" si="0"/>
        <v>0.931870117647059</v>
      </c>
      <c r="K13" s="79">
        <f t="shared" si="1"/>
        <v>1.03316034782609</v>
      </c>
    </row>
    <row r="14" ht="17.25" spans="3:11">
      <c r="C14" s="75"/>
      <c r="D14" s="76" t="s">
        <v>147</v>
      </c>
      <c r="E14" s="76">
        <v>1364000</v>
      </c>
      <c r="F14" s="76">
        <v>1374900</v>
      </c>
      <c r="G14" s="76">
        <v>1452145.18</v>
      </c>
      <c r="H14" s="77">
        <f>G14/G15</f>
        <v>0.27827477254792</v>
      </c>
      <c r="I14" s="76">
        <f t="shared" si="2"/>
        <v>77245.1799999999</v>
      </c>
      <c r="J14" s="77">
        <f t="shared" si="0"/>
        <v>1.05618239871991</v>
      </c>
      <c r="K14" s="77">
        <f t="shared" si="1"/>
        <v>1.0646225659824</v>
      </c>
    </row>
    <row r="15" ht="21.75" spans="3:11">
      <c r="C15" s="75"/>
      <c r="D15" s="84" t="s">
        <v>148</v>
      </c>
      <c r="E15" s="80">
        <f>SUM(E10:E14)</f>
        <v>5517000</v>
      </c>
      <c r="F15" s="80">
        <f>SUM(F10:F14)</f>
        <v>5564900</v>
      </c>
      <c r="G15" s="82">
        <f>SUM(G10:G14)</f>
        <v>5218386.01</v>
      </c>
      <c r="H15" s="81"/>
      <c r="I15" s="82">
        <f t="shared" si="2"/>
        <v>-346513.99</v>
      </c>
      <c r="J15" s="83">
        <f t="shared" si="0"/>
        <v>0.937732216212331</v>
      </c>
      <c r="K15" s="83">
        <f t="shared" si="1"/>
        <v>0.945873846293275</v>
      </c>
    </row>
  </sheetData>
  <mergeCells count="2">
    <mergeCell ref="C6:C9"/>
    <mergeCell ref="C10:C15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workbookViewId="0">
      <selection activeCell="I43" sqref="I43"/>
    </sheetView>
  </sheetViews>
  <sheetFormatPr defaultColWidth="9" defaultRowHeight="13.5"/>
  <cols>
    <col min="3" max="3" width="17" customWidth="1"/>
    <col min="5" max="5" width="25.875" customWidth="1"/>
    <col min="7" max="7" width="17.125" customWidth="1"/>
    <col min="9" max="9" width="21.125" customWidth="1"/>
    <col min="10" max="10" width="12.875" customWidth="1"/>
    <col min="11" max="11" width="13" customWidth="1"/>
  </cols>
  <sheetData>
    <row r="1" ht="22.5" spans="1:12">
      <c r="A1" s="1" t="s">
        <v>171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6.5" spans="1:12">
      <c r="A2" s="2" t="s">
        <v>1</v>
      </c>
      <c r="B2" s="2"/>
      <c r="C2" s="2"/>
      <c r="D2" s="2" t="s">
        <v>2</v>
      </c>
      <c r="E2" s="2" t="s">
        <v>3</v>
      </c>
      <c r="F2" s="2"/>
      <c r="G2" s="2"/>
      <c r="H2" s="2"/>
      <c r="I2" s="2"/>
      <c r="J2" s="2"/>
      <c r="K2" s="2"/>
      <c r="L2" s="2"/>
    </row>
    <row r="3" ht="16.5" spans="1:12">
      <c r="A3" s="2"/>
      <c r="B3" s="2"/>
      <c r="C3" s="2"/>
      <c r="D3" s="2"/>
      <c r="E3" s="2" t="s">
        <v>88</v>
      </c>
      <c r="F3" s="2"/>
      <c r="G3" s="36" t="s">
        <v>89</v>
      </c>
      <c r="H3" s="37"/>
      <c r="I3" s="2" t="s">
        <v>90</v>
      </c>
      <c r="J3" s="2"/>
      <c r="K3" s="2" t="s">
        <v>6</v>
      </c>
      <c r="L3" s="2"/>
    </row>
    <row r="4" ht="16.5" spans="1:12">
      <c r="A4" s="2"/>
      <c r="B4" s="2"/>
      <c r="C4" s="2"/>
      <c r="D4" s="2"/>
      <c r="E4" s="2" t="s">
        <v>91</v>
      </c>
      <c r="F4" s="2" t="s">
        <v>8</v>
      </c>
      <c r="G4" s="2" t="s">
        <v>7</v>
      </c>
      <c r="H4" s="2" t="s">
        <v>8</v>
      </c>
      <c r="I4" s="2" t="s">
        <v>9</v>
      </c>
      <c r="J4" s="2" t="s">
        <v>8</v>
      </c>
      <c r="K4" s="2" t="s">
        <v>10</v>
      </c>
      <c r="L4" s="2" t="s">
        <v>11</v>
      </c>
    </row>
    <row r="5" ht="16.5" spans="1:12">
      <c r="A5" s="36" t="s">
        <v>172</v>
      </c>
      <c r="B5" s="38"/>
      <c r="C5" s="37"/>
      <c r="D5" s="39" t="s">
        <v>93</v>
      </c>
      <c r="E5" s="40">
        <v>123100</v>
      </c>
      <c r="F5" s="2"/>
      <c r="G5" s="40">
        <v>130000</v>
      </c>
      <c r="H5" s="41"/>
      <c r="I5" s="41">
        <v>130800</v>
      </c>
      <c r="J5" s="2"/>
      <c r="K5" s="2">
        <f t="shared" ref="K5:K8" si="0">I5-G5</f>
        <v>800</v>
      </c>
      <c r="L5" s="6"/>
    </row>
    <row r="6" ht="16.5" spans="1:12">
      <c r="A6" s="36" t="s">
        <v>173</v>
      </c>
      <c r="B6" s="38"/>
      <c r="C6" s="37"/>
      <c r="D6" s="39" t="s">
        <v>95</v>
      </c>
      <c r="E6" s="40">
        <v>37500</v>
      </c>
      <c r="F6" s="2"/>
      <c r="G6" s="40">
        <v>37500</v>
      </c>
      <c r="H6" s="41"/>
      <c r="I6" s="41">
        <v>76800</v>
      </c>
      <c r="J6" s="2"/>
      <c r="K6" s="2">
        <f t="shared" si="0"/>
        <v>39300</v>
      </c>
      <c r="L6" s="6"/>
    </row>
    <row r="7" ht="16.5" spans="1:12">
      <c r="A7" s="36" t="s">
        <v>140</v>
      </c>
      <c r="B7" s="38"/>
      <c r="C7" s="37"/>
      <c r="D7" s="39" t="s">
        <v>97</v>
      </c>
      <c r="E7" s="40">
        <v>23100</v>
      </c>
      <c r="F7" s="2"/>
      <c r="G7" s="40">
        <v>23100</v>
      </c>
      <c r="H7" s="41"/>
      <c r="I7" s="41">
        <v>12400</v>
      </c>
      <c r="J7" s="2"/>
      <c r="K7" s="2">
        <f t="shared" si="0"/>
        <v>-10700</v>
      </c>
      <c r="L7" s="6"/>
    </row>
    <row r="8" ht="22.5" spans="1:12">
      <c r="A8" s="42" t="s">
        <v>98</v>
      </c>
      <c r="B8" s="43"/>
      <c r="C8" s="43"/>
      <c r="D8" s="43"/>
      <c r="E8" s="44">
        <f t="shared" ref="E8:I8" si="1">SUM(E5:E7)</f>
        <v>183700</v>
      </c>
      <c r="F8" s="12"/>
      <c r="G8" s="44">
        <f t="shared" si="1"/>
        <v>190600</v>
      </c>
      <c r="H8" s="10"/>
      <c r="I8" s="44">
        <f t="shared" si="1"/>
        <v>220000</v>
      </c>
      <c r="J8" s="12"/>
      <c r="K8" s="11">
        <f t="shared" si="0"/>
        <v>29400</v>
      </c>
      <c r="L8" s="12"/>
    </row>
    <row r="9" ht="16.5" spans="1:12">
      <c r="A9" s="45" t="s">
        <v>21</v>
      </c>
      <c r="B9" s="45"/>
      <c r="C9" s="3" t="s">
        <v>22</v>
      </c>
      <c r="D9" s="39" t="s">
        <v>99</v>
      </c>
      <c r="E9" s="14">
        <v>100000</v>
      </c>
      <c r="F9" s="15"/>
      <c r="G9" s="14">
        <v>110000</v>
      </c>
      <c r="H9" s="46"/>
      <c r="I9" s="46">
        <v>110118</v>
      </c>
      <c r="J9" s="15"/>
      <c r="K9" s="14">
        <f t="shared" ref="K9:K19" si="2">I9-E9</f>
        <v>10118</v>
      </c>
      <c r="L9" s="15">
        <f t="shared" ref="L9:L19" si="3">K9/E9</f>
        <v>0.10118</v>
      </c>
    </row>
    <row r="10" ht="16.5" spans="1:12">
      <c r="A10" s="45"/>
      <c r="B10" s="45"/>
      <c r="C10" s="3" t="s">
        <v>24</v>
      </c>
      <c r="D10" s="39" t="s">
        <v>100</v>
      </c>
      <c r="E10" s="14">
        <v>100000</v>
      </c>
      <c r="F10" s="15"/>
      <c r="G10" s="14">
        <v>85000</v>
      </c>
      <c r="H10" s="46"/>
      <c r="I10" s="46">
        <v>2345.99</v>
      </c>
      <c r="J10" s="15"/>
      <c r="K10" s="14">
        <f t="shared" si="2"/>
        <v>-97654.01</v>
      </c>
      <c r="L10" s="15">
        <f t="shared" si="3"/>
        <v>-0.9765401</v>
      </c>
    </row>
    <row r="11" ht="16.5" spans="1:12">
      <c r="A11" s="45"/>
      <c r="B11" s="45"/>
      <c r="C11" s="3" t="s">
        <v>26</v>
      </c>
      <c r="D11" s="39" t="s">
        <v>101</v>
      </c>
      <c r="E11" s="14">
        <v>40000</v>
      </c>
      <c r="F11" s="15"/>
      <c r="G11" s="14">
        <v>40000</v>
      </c>
      <c r="H11" s="46"/>
      <c r="I11" s="14">
        <v>95554.21</v>
      </c>
      <c r="J11" s="15"/>
      <c r="K11" s="14">
        <f t="shared" si="2"/>
        <v>55554.21</v>
      </c>
      <c r="L11" s="15">
        <f t="shared" si="3"/>
        <v>1.38885525</v>
      </c>
    </row>
    <row r="12" ht="16.5" spans="1:12">
      <c r="A12" s="45"/>
      <c r="B12" s="45"/>
      <c r="C12" s="3" t="s">
        <v>28</v>
      </c>
      <c r="D12" s="39" t="s">
        <v>102</v>
      </c>
      <c r="E12" s="14">
        <v>40000</v>
      </c>
      <c r="F12" s="15"/>
      <c r="G12" s="14">
        <v>40000</v>
      </c>
      <c r="H12" s="46"/>
      <c r="I12" s="46">
        <v>7180</v>
      </c>
      <c r="J12" s="15"/>
      <c r="K12" s="14">
        <f t="shared" si="2"/>
        <v>-32820</v>
      </c>
      <c r="L12" s="15">
        <f t="shared" si="3"/>
        <v>-0.8205</v>
      </c>
    </row>
    <row r="13" ht="16.5" spans="1:12">
      <c r="A13" s="45"/>
      <c r="B13" s="45"/>
      <c r="C13" s="3" t="s">
        <v>30</v>
      </c>
      <c r="D13" s="39" t="s">
        <v>103</v>
      </c>
      <c r="E13" s="14">
        <v>176200</v>
      </c>
      <c r="F13" s="15"/>
      <c r="G13" s="14">
        <v>176200</v>
      </c>
      <c r="H13" s="14"/>
      <c r="I13" s="14">
        <v>340897.18</v>
      </c>
      <c r="J13" s="15"/>
      <c r="K13" s="14">
        <f t="shared" si="2"/>
        <v>164697.18</v>
      </c>
      <c r="L13" s="15">
        <f t="shared" si="3"/>
        <v>0.934717253121453</v>
      </c>
    </row>
    <row r="14" ht="16.5" spans="1:12">
      <c r="A14" s="45"/>
      <c r="B14" s="45"/>
      <c r="C14" s="3" t="s">
        <v>32</v>
      </c>
      <c r="D14" s="39" t="s">
        <v>104</v>
      </c>
      <c r="E14" s="14"/>
      <c r="F14" s="15"/>
      <c r="G14" s="14"/>
      <c r="H14" s="14"/>
      <c r="I14" s="14"/>
      <c r="J14" s="15"/>
      <c r="K14" s="14">
        <f t="shared" si="2"/>
        <v>0</v>
      </c>
      <c r="L14" s="15" t="e">
        <f t="shared" si="3"/>
        <v>#DIV/0!</v>
      </c>
    </row>
    <row r="15" ht="16.5" spans="1:12">
      <c r="A15" s="45"/>
      <c r="B15" s="45"/>
      <c r="C15" s="3" t="s">
        <v>34</v>
      </c>
      <c r="D15" s="39" t="s">
        <v>105</v>
      </c>
      <c r="E15" s="14"/>
      <c r="F15" s="15"/>
      <c r="G15" s="14"/>
      <c r="H15" s="14"/>
      <c r="I15" s="14"/>
      <c r="J15" s="15"/>
      <c r="K15" s="14">
        <f t="shared" si="2"/>
        <v>0</v>
      </c>
      <c r="L15" s="15" t="e">
        <f t="shared" si="3"/>
        <v>#DIV/0!</v>
      </c>
    </row>
    <row r="16" ht="16.5" spans="1:12">
      <c r="A16" s="45"/>
      <c r="B16" s="45"/>
      <c r="C16" s="47" t="s">
        <v>40</v>
      </c>
      <c r="D16" s="39" t="s">
        <v>106</v>
      </c>
      <c r="E16" s="14">
        <v>500</v>
      </c>
      <c r="F16" s="14"/>
      <c r="G16" s="14">
        <v>500</v>
      </c>
      <c r="H16" s="14"/>
      <c r="I16" s="14">
        <v>500</v>
      </c>
      <c r="J16" s="15"/>
      <c r="K16" s="14">
        <f t="shared" si="2"/>
        <v>0</v>
      </c>
      <c r="L16" s="15">
        <f t="shared" si="3"/>
        <v>0</v>
      </c>
    </row>
    <row r="17" ht="16.5" spans="1:12">
      <c r="A17" s="45"/>
      <c r="B17" s="45"/>
      <c r="C17" s="48" t="s">
        <v>42</v>
      </c>
      <c r="D17" s="39" t="s">
        <v>107</v>
      </c>
      <c r="E17" s="14"/>
      <c r="F17" s="14"/>
      <c r="G17" s="14"/>
      <c r="H17" s="14"/>
      <c r="I17" s="14"/>
      <c r="J17" s="15"/>
      <c r="K17" s="14">
        <f t="shared" si="2"/>
        <v>0</v>
      </c>
      <c r="L17" s="15" t="e">
        <f t="shared" si="3"/>
        <v>#DIV/0!</v>
      </c>
    </row>
    <row r="18" ht="16.5" spans="1:12">
      <c r="A18" s="45"/>
      <c r="B18" s="45"/>
      <c r="C18" s="48" t="s">
        <v>44</v>
      </c>
      <c r="D18" s="39" t="s">
        <v>108</v>
      </c>
      <c r="E18" s="14">
        <v>482.5</v>
      </c>
      <c r="F18" s="14"/>
      <c r="G18" s="14">
        <v>482.5</v>
      </c>
      <c r="H18" s="14"/>
      <c r="I18" s="14">
        <v>482.5</v>
      </c>
      <c r="J18" s="15"/>
      <c r="K18" s="14">
        <f t="shared" si="2"/>
        <v>0</v>
      </c>
      <c r="L18" s="15">
        <f t="shared" si="3"/>
        <v>0</v>
      </c>
    </row>
    <row r="19" ht="22.5" spans="1:12">
      <c r="A19" s="49" t="s">
        <v>46</v>
      </c>
      <c r="B19" s="49"/>
      <c r="C19" s="49"/>
      <c r="D19" s="50" t="s">
        <v>18</v>
      </c>
      <c r="E19" s="44">
        <f t="shared" ref="E19:I19" si="4">SUM(E9:E18)</f>
        <v>457182.5</v>
      </c>
      <c r="F19" s="44"/>
      <c r="G19" s="51">
        <f t="shared" si="4"/>
        <v>452182.5</v>
      </c>
      <c r="H19" s="51"/>
      <c r="I19" s="51">
        <f t="shared" si="4"/>
        <v>557077.88</v>
      </c>
      <c r="J19" s="52"/>
      <c r="K19" s="44">
        <f t="shared" si="2"/>
        <v>99895.38</v>
      </c>
      <c r="L19" s="52">
        <f t="shared" si="3"/>
        <v>0.218502195512733</v>
      </c>
    </row>
    <row r="20" ht="16.5" spans="1:12">
      <c r="A20" s="3" t="s">
        <v>61</v>
      </c>
      <c r="B20" s="3"/>
      <c r="C20" s="3" t="s">
        <v>62</v>
      </c>
      <c r="D20" s="39" t="s">
        <v>109</v>
      </c>
      <c r="E20" s="3">
        <v>13</v>
      </c>
      <c r="F20" s="3"/>
      <c r="G20" s="3"/>
      <c r="H20" s="3"/>
      <c r="I20" s="3">
        <v>13</v>
      </c>
      <c r="J20" s="3"/>
      <c r="K20" s="14"/>
      <c r="L20" s="14"/>
    </row>
    <row r="21" ht="16.5" spans="1:12">
      <c r="A21" s="3"/>
      <c r="B21" s="3"/>
      <c r="C21" s="3" t="s">
        <v>64</v>
      </c>
      <c r="D21" s="39" t="s">
        <v>110</v>
      </c>
      <c r="E21" s="3">
        <v>0</v>
      </c>
      <c r="F21" s="3"/>
      <c r="G21" s="3"/>
      <c r="H21" s="3"/>
      <c r="I21" s="3">
        <v>1</v>
      </c>
      <c r="J21" s="3"/>
      <c r="K21" s="14"/>
      <c r="L21" s="14"/>
    </row>
    <row r="22" ht="16.5" spans="1:12">
      <c r="A22" s="3"/>
      <c r="B22" s="3"/>
      <c r="C22" s="3" t="s">
        <v>66</v>
      </c>
      <c r="D22" s="39" t="s">
        <v>111</v>
      </c>
      <c r="E22" s="30">
        <v>13</v>
      </c>
      <c r="F22" s="30"/>
      <c r="G22" s="30"/>
      <c r="H22" s="30"/>
      <c r="I22" s="30">
        <v>14</v>
      </c>
      <c r="J22" s="30"/>
      <c r="K22" s="14"/>
      <c r="L22" s="14"/>
    </row>
    <row r="23" ht="16.5" spans="1:12">
      <c r="A23" s="3" t="s">
        <v>68</v>
      </c>
      <c r="B23" s="3"/>
      <c r="C23" s="3" t="s">
        <v>69</v>
      </c>
      <c r="D23" s="39" t="s">
        <v>112</v>
      </c>
      <c r="E23" s="30">
        <v>2392</v>
      </c>
      <c r="F23" s="30"/>
      <c r="G23" s="30"/>
      <c r="H23" s="30"/>
      <c r="I23" s="30">
        <v>2392</v>
      </c>
      <c r="J23" s="30"/>
      <c r="K23" s="14"/>
      <c r="L23" s="14"/>
    </row>
    <row r="24" ht="16.5" spans="1:12">
      <c r="A24" s="3"/>
      <c r="B24" s="3"/>
      <c r="C24" s="3" t="s">
        <v>71</v>
      </c>
      <c r="D24" s="39" t="s">
        <v>23</v>
      </c>
      <c r="E24" s="30"/>
      <c r="F24" s="30"/>
      <c r="G24" s="30"/>
      <c r="H24" s="30"/>
      <c r="I24" s="30">
        <v>101</v>
      </c>
      <c r="J24" s="30"/>
      <c r="K24" s="14"/>
      <c r="L24" s="14"/>
    </row>
    <row r="25" ht="16.5" spans="1:12">
      <c r="A25" s="3"/>
      <c r="B25" s="3"/>
      <c r="C25" s="3" t="s">
        <v>73</v>
      </c>
      <c r="D25" s="39" t="s">
        <v>113</v>
      </c>
      <c r="E25" s="30"/>
      <c r="F25" s="30"/>
      <c r="G25" s="30"/>
      <c r="H25" s="30"/>
      <c r="I25" s="30">
        <v>2493</v>
      </c>
      <c r="J25" s="30"/>
      <c r="K25" s="14"/>
      <c r="L25" s="14"/>
    </row>
    <row r="26" ht="16.5" spans="1:12">
      <c r="A26" s="10" t="s">
        <v>77</v>
      </c>
      <c r="B26" s="10"/>
      <c r="C26" s="10"/>
      <c r="D26" s="29" t="s">
        <v>78</v>
      </c>
      <c r="E26" s="32"/>
      <c r="F26" s="32"/>
      <c r="G26" s="11"/>
      <c r="H26" s="11"/>
      <c r="I26" s="11"/>
      <c r="J26" s="11"/>
      <c r="K26" s="32"/>
      <c r="L26" s="32"/>
    </row>
    <row r="27" ht="16.5" spans="1:12">
      <c r="A27" s="53"/>
      <c r="B27" s="53"/>
      <c r="C27" s="8"/>
      <c r="D27" s="54" t="s">
        <v>2</v>
      </c>
      <c r="E27" s="2" t="s">
        <v>88</v>
      </c>
      <c r="F27" s="2"/>
      <c r="G27" s="36" t="s">
        <v>89</v>
      </c>
      <c r="H27" s="37"/>
      <c r="I27" s="2" t="s">
        <v>90</v>
      </c>
      <c r="J27" s="2"/>
      <c r="K27" s="2" t="s">
        <v>6</v>
      </c>
      <c r="L27" s="2"/>
    </row>
    <row r="28" ht="22.5" spans="1:12">
      <c r="A28" s="55"/>
      <c r="B28" s="55"/>
      <c r="C28" s="55"/>
      <c r="D28" s="56"/>
      <c r="E28" s="2" t="s">
        <v>91</v>
      </c>
      <c r="F28" s="2" t="s">
        <v>8</v>
      </c>
      <c r="G28" s="2" t="s">
        <v>7</v>
      </c>
      <c r="H28" s="2" t="s">
        <v>8</v>
      </c>
      <c r="I28" s="2" t="s">
        <v>9</v>
      </c>
      <c r="J28" s="2" t="s">
        <v>8</v>
      </c>
      <c r="K28" s="2" t="s">
        <v>10</v>
      </c>
      <c r="L28" s="2" t="s">
        <v>11</v>
      </c>
    </row>
    <row r="29" ht="16.5" spans="1:12">
      <c r="A29" s="45" t="s">
        <v>114</v>
      </c>
      <c r="B29" s="45"/>
      <c r="C29" s="57" t="s">
        <v>115</v>
      </c>
      <c r="D29" s="58" t="s">
        <v>116</v>
      </c>
      <c r="E29" s="59">
        <v>1800000</v>
      </c>
      <c r="F29" s="60"/>
      <c r="G29" s="59">
        <v>1800000</v>
      </c>
      <c r="H29" s="61"/>
      <c r="I29" s="61">
        <v>1518400</v>
      </c>
      <c r="J29" s="60"/>
      <c r="K29" s="60">
        <f>I29-E29</f>
        <v>-281600</v>
      </c>
      <c r="L29" s="62">
        <f>K29/E29</f>
        <v>-0.156444444444444</v>
      </c>
    </row>
    <row r="30" ht="16.5" spans="1:12">
      <c r="A30" s="45"/>
      <c r="B30" s="45"/>
      <c r="C30" s="63" t="s">
        <v>117</v>
      </c>
      <c r="D30" s="14" t="s">
        <v>118</v>
      </c>
      <c r="E30" s="30">
        <v>1250000</v>
      </c>
      <c r="F30" s="14"/>
      <c r="G30" s="30">
        <v>1250000</v>
      </c>
      <c r="H30" s="27"/>
      <c r="I30" s="27">
        <v>2620600</v>
      </c>
      <c r="J30" s="15"/>
      <c r="K30" s="14"/>
      <c r="L30" s="15"/>
    </row>
    <row r="31" ht="16.5" spans="1:12">
      <c r="A31" s="45"/>
      <c r="B31" s="45"/>
      <c r="C31" s="63" t="s">
        <v>119</v>
      </c>
      <c r="D31" s="14" t="s">
        <v>120</v>
      </c>
      <c r="E31" s="30">
        <v>70000</v>
      </c>
      <c r="F31" s="14"/>
      <c r="G31" s="30">
        <v>70000</v>
      </c>
      <c r="H31" s="27"/>
      <c r="I31" s="27">
        <v>1031700</v>
      </c>
      <c r="J31" s="15"/>
      <c r="K31" s="14"/>
      <c r="L31" s="15"/>
    </row>
    <row r="32" ht="16.5" spans="1:12">
      <c r="A32" s="45"/>
      <c r="B32" s="45"/>
      <c r="C32" s="63" t="s">
        <v>121</v>
      </c>
      <c r="D32" s="14" t="s">
        <v>122</v>
      </c>
      <c r="E32" s="30">
        <v>80000</v>
      </c>
      <c r="F32" s="14"/>
      <c r="G32" s="30">
        <v>80000</v>
      </c>
      <c r="H32" s="27"/>
      <c r="I32" s="27">
        <v>771200</v>
      </c>
      <c r="J32" s="15"/>
      <c r="K32" s="14"/>
      <c r="L32" s="15"/>
    </row>
    <row r="33" ht="16.5" spans="1:12">
      <c r="A33" s="45"/>
      <c r="B33" s="45"/>
      <c r="C33" s="63" t="s">
        <v>123</v>
      </c>
      <c r="D33" s="14" t="s">
        <v>124</v>
      </c>
      <c r="E33" s="30">
        <v>3720000</v>
      </c>
      <c r="F33" s="14"/>
      <c r="G33" s="30">
        <v>3720000</v>
      </c>
      <c r="H33" s="27"/>
      <c r="I33" s="27">
        <v>3878000</v>
      </c>
      <c r="J33" s="15"/>
      <c r="K33" s="14"/>
      <c r="L33" s="15"/>
    </row>
    <row r="34" ht="16.5" spans="1:12">
      <c r="A34" s="45"/>
      <c r="B34" s="45"/>
      <c r="C34" s="64" t="s">
        <v>125</v>
      </c>
      <c r="D34" s="58" t="s">
        <v>126</v>
      </c>
      <c r="E34" s="21">
        <f>SUM(E30:E33)</f>
        <v>5120000</v>
      </c>
      <c r="F34" s="21"/>
      <c r="G34" s="65">
        <f>SUM(G30:G33)</f>
        <v>5120000</v>
      </c>
      <c r="H34" s="65"/>
      <c r="I34" s="69">
        <f>SUM(I30:I33)</f>
        <v>8301500</v>
      </c>
      <c r="J34" s="66"/>
      <c r="K34" s="21"/>
      <c r="L34" s="66"/>
    </row>
    <row r="35" ht="16.5" spans="1:12">
      <c r="A35" s="45"/>
      <c r="B35" s="45"/>
      <c r="C35" s="64" t="s">
        <v>127</v>
      </c>
      <c r="D35" s="58" t="s">
        <v>128</v>
      </c>
      <c r="E35" s="67">
        <v>39000000</v>
      </c>
      <c r="F35" s="21"/>
      <c r="G35" s="67">
        <v>39000000</v>
      </c>
      <c r="H35" s="65"/>
      <c r="I35" s="65">
        <v>44130000</v>
      </c>
      <c r="J35" s="66"/>
      <c r="K35" s="21"/>
      <c r="L35" s="66"/>
    </row>
    <row r="36" ht="16.5" spans="1:12">
      <c r="A36" s="70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</row>
    <row r="38" spans="1:12">
      <c r="E38" t="s">
        <v>174</v>
      </c>
    </row>
  </sheetData>
  <mergeCells count="45">
    <mergeCell ref="A1:L1"/>
    <mergeCell ref="E2:L2"/>
    <mergeCell ref="E3:F3"/>
    <mergeCell ref="G3:H3"/>
    <mergeCell ref="I3:J3"/>
    <mergeCell ref="K3:L3"/>
    <mergeCell ref="A5:C5"/>
    <mergeCell ref="A6:C6"/>
    <mergeCell ref="A7:C7"/>
    <mergeCell ref="A8:D8"/>
    <mergeCell ref="A19:C19"/>
    <mergeCell ref="E20:F20"/>
    <mergeCell ref="I20:J20"/>
    <mergeCell ref="K20:L20"/>
    <mergeCell ref="E21:F21"/>
    <mergeCell ref="I21:J21"/>
    <mergeCell ref="K21:L21"/>
    <mergeCell ref="E22:F22"/>
    <mergeCell ref="I22:J22"/>
    <mergeCell ref="K22:L22"/>
    <mergeCell ref="E23:F23"/>
    <mergeCell ref="I23:J23"/>
    <mergeCell ref="K23:L23"/>
    <mergeCell ref="E24:F24"/>
    <mergeCell ref="I24:J24"/>
    <mergeCell ref="K24:L24"/>
    <mergeCell ref="E25:F25"/>
    <mergeCell ref="I25:J25"/>
    <mergeCell ref="K25:L25"/>
    <mergeCell ref="A26:C26"/>
    <mergeCell ref="E26:F26"/>
    <mergeCell ref="I26:J26"/>
    <mergeCell ref="K26:L26"/>
    <mergeCell ref="E27:F27"/>
    <mergeCell ref="G27:H27"/>
    <mergeCell ref="I27:J27"/>
    <mergeCell ref="K27:L27"/>
    <mergeCell ref="A36:L36"/>
    <mergeCell ref="D2:D4"/>
    <mergeCell ref="D27:D28"/>
    <mergeCell ref="A2:C4"/>
    <mergeCell ref="A9:B18"/>
    <mergeCell ref="A20:B22"/>
    <mergeCell ref="A23:B25"/>
    <mergeCell ref="A29:B35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3"/>
  <sheetViews>
    <sheetView topLeftCell="A3" workbookViewId="0">
      <selection activeCell="P44" sqref="P44"/>
    </sheetView>
  </sheetViews>
  <sheetFormatPr defaultColWidth="9" defaultRowHeight="13.5"/>
  <cols>
    <col min="3" max="3" width="19" customWidth="1"/>
    <col min="5" max="5" width="16.5" customWidth="1"/>
    <col min="7" max="7" width="15.25" customWidth="1"/>
    <col min="9" max="9" width="20.625" customWidth="1"/>
    <col min="11" max="11" width="16.75" customWidth="1"/>
    <col min="17" max="17" width="14.875" customWidth="1"/>
    <col min="19" max="19" width="14.625" customWidth="1"/>
    <col min="21" max="21" width="13.625" customWidth="1"/>
    <col min="23" max="23" width="19.125" customWidth="1"/>
  </cols>
  <sheetData>
    <row r="1" ht="22.5" spans="1:26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O1" s="1" t="s">
        <v>171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spans="1:26">
      <c r="A2" s="2" t="s">
        <v>1</v>
      </c>
      <c r="B2" s="2"/>
      <c r="C2" s="2"/>
      <c r="D2" s="2" t="s">
        <v>2</v>
      </c>
      <c r="E2" s="2" t="s">
        <v>3</v>
      </c>
      <c r="F2" s="2"/>
      <c r="G2" s="2"/>
      <c r="H2" s="2"/>
      <c r="I2" s="2"/>
      <c r="J2" s="2"/>
      <c r="K2" s="2"/>
      <c r="L2" s="2"/>
      <c r="O2" s="2" t="s">
        <v>1</v>
      </c>
      <c r="P2" s="2"/>
      <c r="Q2" s="2"/>
      <c r="R2" s="2" t="s">
        <v>2</v>
      </c>
      <c r="S2" s="2" t="s">
        <v>3</v>
      </c>
      <c r="T2" s="2"/>
      <c r="U2" s="2"/>
      <c r="V2" s="2"/>
      <c r="W2" s="2"/>
      <c r="X2" s="2"/>
      <c r="Y2" s="2"/>
      <c r="Z2" s="2"/>
    </row>
    <row r="3" ht="16.5" spans="1:26">
      <c r="A3" s="2"/>
      <c r="B3" s="2"/>
      <c r="C3" s="2"/>
      <c r="D3" s="2"/>
      <c r="E3" s="2" t="s">
        <v>88</v>
      </c>
      <c r="F3" s="2"/>
      <c r="G3" s="36" t="s">
        <v>89</v>
      </c>
      <c r="H3" s="37"/>
      <c r="I3" s="2" t="s">
        <v>90</v>
      </c>
      <c r="J3" s="2"/>
      <c r="K3" s="2" t="s">
        <v>6</v>
      </c>
      <c r="L3" s="2"/>
      <c r="O3" s="2"/>
      <c r="P3" s="2"/>
      <c r="Q3" s="2"/>
      <c r="R3" s="2"/>
      <c r="S3" s="2" t="s">
        <v>88</v>
      </c>
      <c r="T3" s="2"/>
      <c r="U3" s="36" t="s">
        <v>89</v>
      </c>
      <c r="V3" s="37"/>
      <c r="W3" s="2" t="s">
        <v>90</v>
      </c>
      <c r="X3" s="2"/>
      <c r="Y3" s="2" t="s">
        <v>6</v>
      </c>
      <c r="Z3" s="2"/>
    </row>
    <row r="4" ht="16.5" spans="1:26">
      <c r="A4" s="2"/>
      <c r="B4" s="2"/>
      <c r="C4" s="2"/>
      <c r="D4" s="2"/>
      <c r="E4" s="2" t="s">
        <v>91</v>
      </c>
      <c r="F4" s="2" t="s">
        <v>8</v>
      </c>
      <c r="G4" s="2" t="s">
        <v>7</v>
      </c>
      <c r="H4" s="2" t="s">
        <v>8</v>
      </c>
      <c r="I4" s="2" t="s">
        <v>9</v>
      </c>
      <c r="J4" s="2" t="s">
        <v>8</v>
      </c>
      <c r="K4" s="2" t="s">
        <v>10</v>
      </c>
      <c r="L4" s="2" t="s">
        <v>11</v>
      </c>
      <c r="O4" s="2"/>
      <c r="P4" s="2"/>
      <c r="Q4" s="2"/>
      <c r="R4" s="2"/>
      <c r="S4" s="2" t="s">
        <v>91</v>
      </c>
      <c r="T4" s="2" t="s">
        <v>8</v>
      </c>
      <c r="U4" s="2" t="s">
        <v>7</v>
      </c>
      <c r="V4" s="2" t="s">
        <v>8</v>
      </c>
      <c r="W4" s="2" t="s">
        <v>9</v>
      </c>
      <c r="X4" s="2" t="s">
        <v>8</v>
      </c>
      <c r="Y4" s="2" t="s">
        <v>10</v>
      </c>
      <c r="Z4" s="2" t="s">
        <v>11</v>
      </c>
    </row>
    <row r="5" ht="16.5" spans="1:26">
      <c r="A5" s="36" t="s">
        <v>172</v>
      </c>
      <c r="B5" s="38"/>
      <c r="C5" s="37"/>
      <c r="D5" s="39" t="s">
        <v>93</v>
      </c>
      <c r="E5" s="40">
        <v>105100</v>
      </c>
      <c r="F5" s="2"/>
      <c r="G5" s="40">
        <v>105100</v>
      </c>
      <c r="H5" s="41"/>
      <c r="I5" s="41">
        <v>141900</v>
      </c>
      <c r="J5" s="2"/>
      <c r="K5" s="2">
        <f t="shared" ref="K5:K8" si="0">I5-G5</f>
        <v>36800</v>
      </c>
      <c r="L5" s="6"/>
      <c r="O5" s="36" t="s">
        <v>172</v>
      </c>
      <c r="P5" s="38"/>
      <c r="Q5" s="37"/>
      <c r="R5" s="39" t="s">
        <v>93</v>
      </c>
      <c r="S5" s="40">
        <v>123100</v>
      </c>
      <c r="T5" s="2"/>
      <c r="U5" s="40">
        <v>130000</v>
      </c>
      <c r="V5" s="41"/>
      <c r="W5" s="41">
        <v>130800</v>
      </c>
      <c r="X5" s="2"/>
      <c r="Y5" s="2">
        <f t="shared" ref="Y5:Y8" si="1">W5-U5</f>
        <v>800</v>
      </c>
      <c r="Z5" s="6"/>
    </row>
    <row r="6" ht="16.5" spans="1:26">
      <c r="A6" s="36" t="s">
        <v>173</v>
      </c>
      <c r="B6" s="38"/>
      <c r="C6" s="37"/>
      <c r="D6" s="39" t="s">
        <v>95</v>
      </c>
      <c r="E6" s="40">
        <v>65500</v>
      </c>
      <c r="F6" s="2"/>
      <c r="G6" s="40">
        <v>65500</v>
      </c>
      <c r="H6" s="41"/>
      <c r="I6" s="41">
        <v>57300</v>
      </c>
      <c r="J6" s="2"/>
      <c r="K6" s="2">
        <f t="shared" si="0"/>
        <v>-8200</v>
      </c>
      <c r="L6" s="6"/>
      <c r="O6" s="36" t="s">
        <v>173</v>
      </c>
      <c r="P6" s="38"/>
      <c r="Q6" s="37"/>
      <c r="R6" s="39" t="s">
        <v>95</v>
      </c>
      <c r="S6" s="40">
        <v>37500</v>
      </c>
      <c r="T6" s="2"/>
      <c r="U6" s="40">
        <v>37500</v>
      </c>
      <c r="V6" s="41"/>
      <c r="W6" s="41">
        <v>76800</v>
      </c>
      <c r="X6" s="2"/>
      <c r="Y6" s="2">
        <f t="shared" si="1"/>
        <v>39300</v>
      </c>
      <c r="Z6" s="6"/>
    </row>
    <row r="7" ht="16.5" spans="1:26">
      <c r="A7" s="36" t="s">
        <v>140</v>
      </c>
      <c r="B7" s="38"/>
      <c r="C7" s="37"/>
      <c r="D7" s="39" t="s">
        <v>97</v>
      </c>
      <c r="E7" s="40">
        <v>5700</v>
      </c>
      <c r="F7" s="2"/>
      <c r="G7" s="40">
        <v>5700</v>
      </c>
      <c r="H7" s="41"/>
      <c r="I7" s="41">
        <v>22500</v>
      </c>
      <c r="J7" s="2"/>
      <c r="K7" s="2">
        <f t="shared" si="0"/>
        <v>16800</v>
      </c>
      <c r="L7" s="6"/>
      <c r="O7" s="36" t="s">
        <v>140</v>
      </c>
      <c r="P7" s="38"/>
      <c r="Q7" s="37"/>
      <c r="R7" s="39" t="s">
        <v>97</v>
      </c>
      <c r="S7" s="40">
        <v>23100</v>
      </c>
      <c r="T7" s="2"/>
      <c r="U7" s="40">
        <v>23100</v>
      </c>
      <c r="V7" s="41"/>
      <c r="W7" s="41">
        <v>12400</v>
      </c>
      <c r="X7" s="2"/>
      <c r="Y7" s="2">
        <f t="shared" si="1"/>
        <v>-10700</v>
      </c>
      <c r="Z7" s="6"/>
    </row>
    <row r="8" ht="22.5" spans="1:26">
      <c r="A8" s="42" t="s">
        <v>98</v>
      </c>
      <c r="B8" s="43"/>
      <c r="C8" s="43"/>
      <c r="D8" s="43"/>
      <c r="E8" s="44">
        <f t="shared" ref="E8:I8" si="2">SUM(E5:E7)</f>
        <v>176300</v>
      </c>
      <c r="F8" s="12"/>
      <c r="G8" s="44">
        <f t="shared" si="2"/>
        <v>176300</v>
      </c>
      <c r="H8" s="10"/>
      <c r="I8" s="44">
        <f t="shared" si="2"/>
        <v>221700</v>
      </c>
      <c r="J8" s="12"/>
      <c r="K8" s="11">
        <f t="shared" si="0"/>
        <v>45400</v>
      </c>
      <c r="L8" s="12"/>
      <c r="O8" s="42" t="s">
        <v>98</v>
      </c>
      <c r="P8" s="43"/>
      <c r="Q8" s="43"/>
      <c r="R8" s="43"/>
      <c r="S8" s="44">
        <f t="shared" ref="S8:W8" si="3">SUM(S5:S7)</f>
        <v>183700</v>
      </c>
      <c r="T8" s="12"/>
      <c r="U8" s="44">
        <f t="shared" si="3"/>
        <v>190600</v>
      </c>
      <c r="V8" s="10"/>
      <c r="W8" s="44">
        <f t="shared" si="3"/>
        <v>220000</v>
      </c>
      <c r="X8" s="12"/>
      <c r="Y8" s="11">
        <f t="shared" si="1"/>
        <v>29400</v>
      </c>
      <c r="Z8" s="12"/>
    </row>
    <row r="9" ht="16.5" spans="1:26">
      <c r="A9" s="45" t="s">
        <v>21</v>
      </c>
      <c r="B9" s="45"/>
      <c r="C9" s="3" t="s">
        <v>22</v>
      </c>
      <c r="D9" s="39" t="s">
        <v>99</v>
      </c>
      <c r="E9" s="14">
        <v>150000</v>
      </c>
      <c r="F9" s="15"/>
      <c r="G9" s="14">
        <v>150000</v>
      </c>
      <c r="H9" s="46"/>
      <c r="I9" s="46">
        <v>145402.8</v>
      </c>
      <c r="J9" s="15"/>
      <c r="K9" s="14">
        <f t="shared" ref="K9:K19" si="4">I9-E9</f>
        <v>-4597.20000000001</v>
      </c>
      <c r="L9" s="15">
        <f t="shared" ref="L9:L19" si="5">K9/E9</f>
        <v>-0.0306480000000001</v>
      </c>
      <c r="O9" s="45" t="s">
        <v>21</v>
      </c>
      <c r="P9" s="45"/>
      <c r="Q9" s="3" t="s">
        <v>22</v>
      </c>
      <c r="R9" s="39" t="s">
        <v>99</v>
      </c>
      <c r="S9" s="14">
        <v>100000</v>
      </c>
      <c r="T9" s="15"/>
      <c r="U9" s="14">
        <v>110000</v>
      </c>
      <c r="V9" s="46"/>
      <c r="W9" s="46">
        <v>110118</v>
      </c>
      <c r="X9" s="15"/>
      <c r="Y9" s="14">
        <f t="shared" ref="Y9:Y19" si="6">W9-S9</f>
        <v>10118</v>
      </c>
      <c r="Z9" s="15">
        <f t="shared" ref="Z9:Z19" si="7">Y9/S9</f>
        <v>0.10118</v>
      </c>
    </row>
    <row r="10" ht="16.5" spans="1:26">
      <c r="A10" s="45"/>
      <c r="B10" s="45"/>
      <c r="C10" s="3" t="s">
        <v>24</v>
      </c>
      <c r="D10" s="39" t="s">
        <v>100</v>
      </c>
      <c r="E10" s="14">
        <v>40000</v>
      </c>
      <c r="F10" s="15"/>
      <c r="G10" s="14">
        <v>40000</v>
      </c>
      <c r="H10" s="46"/>
      <c r="I10" s="46">
        <v>56985.9</v>
      </c>
      <c r="J10" s="15"/>
      <c r="K10" s="14">
        <f t="shared" si="4"/>
        <v>16985.9</v>
      </c>
      <c r="L10" s="15">
        <f t="shared" si="5"/>
        <v>0.4246475</v>
      </c>
      <c r="O10" s="45"/>
      <c r="P10" s="45"/>
      <c r="Q10" s="3" t="s">
        <v>24</v>
      </c>
      <c r="R10" s="39" t="s">
        <v>100</v>
      </c>
      <c r="S10" s="14">
        <v>100000</v>
      </c>
      <c r="T10" s="15"/>
      <c r="U10" s="14">
        <v>85000</v>
      </c>
      <c r="V10" s="46"/>
      <c r="W10" s="46">
        <v>2345.99</v>
      </c>
      <c r="X10" s="15"/>
      <c r="Y10" s="14">
        <f t="shared" si="6"/>
        <v>-97654.01</v>
      </c>
      <c r="Z10" s="15">
        <f t="shared" si="7"/>
        <v>-0.9765401</v>
      </c>
    </row>
    <row r="11" ht="16.5" spans="1:26">
      <c r="A11" s="45"/>
      <c r="B11" s="45"/>
      <c r="C11" s="3" t="s">
        <v>26</v>
      </c>
      <c r="D11" s="39" t="s">
        <v>101</v>
      </c>
      <c r="E11" s="14">
        <v>0</v>
      </c>
      <c r="F11" s="15"/>
      <c r="G11" s="14">
        <v>40000</v>
      </c>
      <c r="H11" s="46"/>
      <c r="I11" s="14">
        <v>103750</v>
      </c>
      <c r="J11" s="15"/>
      <c r="K11" s="14">
        <f t="shared" si="4"/>
        <v>103750</v>
      </c>
      <c r="L11" s="15" t="e">
        <f t="shared" si="5"/>
        <v>#DIV/0!</v>
      </c>
      <c r="O11" s="45"/>
      <c r="P11" s="45"/>
      <c r="Q11" s="3" t="s">
        <v>26</v>
      </c>
      <c r="R11" s="39" t="s">
        <v>101</v>
      </c>
      <c r="S11" s="14">
        <v>40000</v>
      </c>
      <c r="T11" s="15"/>
      <c r="U11" s="14">
        <v>40000</v>
      </c>
      <c r="V11" s="46"/>
      <c r="W11" s="14">
        <v>95554.21</v>
      </c>
      <c r="X11" s="15"/>
      <c r="Y11" s="14">
        <f t="shared" si="6"/>
        <v>55554.21</v>
      </c>
      <c r="Z11" s="15">
        <f t="shared" si="7"/>
        <v>1.38885525</v>
      </c>
    </row>
    <row r="12" ht="16.5" spans="1:26">
      <c r="A12" s="45"/>
      <c r="B12" s="45"/>
      <c r="C12" s="3" t="s">
        <v>28</v>
      </c>
      <c r="D12" s="39" t="s">
        <v>102</v>
      </c>
      <c r="E12" s="14">
        <v>20000</v>
      </c>
      <c r="F12" s="15"/>
      <c r="G12" s="14">
        <v>40000</v>
      </c>
      <c r="H12" s="46"/>
      <c r="I12" s="46">
        <v>35579.8</v>
      </c>
      <c r="J12" s="15"/>
      <c r="K12" s="14">
        <f t="shared" si="4"/>
        <v>15579.8</v>
      </c>
      <c r="L12" s="15">
        <f t="shared" si="5"/>
        <v>0.77899</v>
      </c>
      <c r="O12" s="45"/>
      <c r="P12" s="45"/>
      <c r="Q12" s="3" t="s">
        <v>28</v>
      </c>
      <c r="R12" s="39" t="s">
        <v>102</v>
      </c>
      <c r="S12" s="14">
        <v>40000</v>
      </c>
      <c r="T12" s="15"/>
      <c r="U12" s="14">
        <v>40000</v>
      </c>
      <c r="V12" s="46"/>
      <c r="W12" s="46">
        <v>7180</v>
      </c>
      <c r="X12" s="15"/>
      <c r="Y12" s="14">
        <f t="shared" si="6"/>
        <v>-32820</v>
      </c>
      <c r="Z12" s="15">
        <f t="shared" si="7"/>
        <v>-0.8205</v>
      </c>
    </row>
    <row r="13" ht="16.5" spans="1:26">
      <c r="A13" s="45"/>
      <c r="B13" s="45"/>
      <c r="C13" s="3" t="s">
        <v>30</v>
      </c>
      <c r="D13" s="39" t="s">
        <v>103</v>
      </c>
      <c r="E13" s="14">
        <v>54200</v>
      </c>
      <c r="F13" s="15"/>
      <c r="G13" s="14">
        <v>64200</v>
      </c>
      <c r="H13" s="14"/>
      <c r="I13" s="14">
        <v>150026.7</v>
      </c>
      <c r="J13" s="15"/>
      <c r="K13" s="14">
        <f t="shared" si="4"/>
        <v>95826.7</v>
      </c>
      <c r="L13" s="15">
        <f t="shared" si="5"/>
        <v>1.76802029520295</v>
      </c>
      <c r="O13" s="45"/>
      <c r="P13" s="45"/>
      <c r="Q13" s="3" t="s">
        <v>30</v>
      </c>
      <c r="R13" s="39" t="s">
        <v>103</v>
      </c>
      <c r="S13" s="14">
        <v>176200</v>
      </c>
      <c r="T13" s="15"/>
      <c r="U13" s="14">
        <v>176200</v>
      </c>
      <c r="V13" s="14"/>
      <c r="W13" s="14">
        <v>340897.18</v>
      </c>
      <c r="X13" s="15"/>
      <c r="Y13" s="14">
        <f t="shared" si="6"/>
        <v>164697.18</v>
      </c>
      <c r="Z13" s="15">
        <f t="shared" si="7"/>
        <v>0.934717253121453</v>
      </c>
    </row>
    <row r="14" ht="16.5" spans="1:26">
      <c r="A14" s="45"/>
      <c r="B14" s="45"/>
      <c r="C14" s="3" t="s">
        <v>32</v>
      </c>
      <c r="D14" s="39" t="s">
        <v>104</v>
      </c>
      <c r="E14" s="14"/>
      <c r="F14" s="15"/>
      <c r="G14" s="14"/>
      <c r="H14" s="14"/>
      <c r="I14" s="14"/>
      <c r="J14" s="15"/>
      <c r="K14" s="14">
        <f t="shared" si="4"/>
        <v>0</v>
      </c>
      <c r="L14" s="15" t="e">
        <f t="shared" si="5"/>
        <v>#DIV/0!</v>
      </c>
      <c r="O14" s="45"/>
      <c r="P14" s="45"/>
      <c r="Q14" s="3" t="s">
        <v>32</v>
      </c>
      <c r="R14" s="39" t="s">
        <v>104</v>
      </c>
      <c r="S14" s="14"/>
      <c r="T14" s="15"/>
      <c r="U14" s="14"/>
      <c r="V14" s="14"/>
      <c r="W14" s="14"/>
      <c r="X14" s="15"/>
      <c r="Y14" s="14">
        <f t="shared" si="6"/>
        <v>0</v>
      </c>
      <c r="Z14" s="15" t="e">
        <f t="shared" si="7"/>
        <v>#DIV/0!</v>
      </c>
    </row>
    <row r="15" ht="16.5" spans="1:26">
      <c r="A15" s="45"/>
      <c r="B15" s="45"/>
      <c r="C15" s="3" t="s">
        <v>34</v>
      </c>
      <c r="D15" s="39" t="s">
        <v>105</v>
      </c>
      <c r="E15" s="14"/>
      <c r="F15" s="15"/>
      <c r="G15" s="14"/>
      <c r="H15" s="14"/>
      <c r="I15" s="14"/>
      <c r="J15" s="15"/>
      <c r="K15" s="14">
        <f t="shared" si="4"/>
        <v>0</v>
      </c>
      <c r="L15" s="15" t="e">
        <f t="shared" si="5"/>
        <v>#DIV/0!</v>
      </c>
      <c r="O15" s="45"/>
      <c r="P15" s="45"/>
      <c r="Q15" s="3" t="s">
        <v>34</v>
      </c>
      <c r="R15" s="39" t="s">
        <v>105</v>
      </c>
      <c r="S15" s="14"/>
      <c r="T15" s="15"/>
      <c r="U15" s="14"/>
      <c r="V15" s="14"/>
      <c r="W15" s="14"/>
      <c r="X15" s="15"/>
      <c r="Y15" s="14">
        <f t="shared" si="6"/>
        <v>0</v>
      </c>
      <c r="Z15" s="15" t="e">
        <f t="shared" si="7"/>
        <v>#DIV/0!</v>
      </c>
    </row>
    <row r="16" ht="16.5" spans="1:26">
      <c r="A16" s="45"/>
      <c r="B16" s="45"/>
      <c r="C16" s="47" t="s">
        <v>40</v>
      </c>
      <c r="D16" s="39" t="s">
        <v>106</v>
      </c>
      <c r="E16" s="14">
        <v>500</v>
      </c>
      <c r="F16" s="14"/>
      <c r="G16" s="14">
        <v>500</v>
      </c>
      <c r="H16" s="14"/>
      <c r="I16" s="14">
        <v>500</v>
      </c>
      <c r="J16" s="15"/>
      <c r="K16" s="14">
        <f t="shared" si="4"/>
        <v>0</v>
      </c>
      <c r="L16" s="15">
        <f t="shared" si="5"/>
        <v>0</v>
      </c>
      <c r="O16" s="45"/>
      <c r="P16" s="45"/>
      <c r="Q16" s="47" t="s">
        <v>40</v>
      </c>
      <c r="R16" s="39" t="s">
        <v>106</v>
      </c>
      <c r="S16" s="14">
        <v>500</v>
      </c>
      <c r="T16" s="14"/>
      <c r="U16" s="14">
        <v>500</v>
      </c>
      <c r="V16" s="14"/>
      <c r="W16" s="14">
        <v>500</v>
      </c>
      <c r="X16" s="15"/>
      <c r="Y16" s="14">
        <f t="shared" si="6"/>
        <v>0</v>
      </c>
      <c r="Z16" s="15">
        <f t="shared" si="7"/>
        <v>0</v>
      </c>
    </row>
    <row r="17" ht="16.5" spans="1:26">
      <c r="A17" s="45"/>
      <c r="B17" s="45"/>
      <c r="C17" s="48" t="s">
        <v>42</v>
      </c>
      <c r="D17" s="39" t="s">
        <v>107</v>
      </c>
      <c r="E17" s="14"/>
      <c r="F17" s="14"/>
      <c r="G17" s="14"/>
      <c r="H17" s="14"/>
      <c r="I17" s="14"/>
      <c r="J17" s="15"/>
      <c r="K17" s="14">
        <f t="shared" si="4"/>
        <v>0</v>
      </c>
      <c r="L17" s="15" t="e">
        <f t="shared" si="5"/>
        <v>#DIV/0!</v>
      </c>
      <c r="O17" s="45"/>
      <c r="P17" s="45"/>
      <c r="Q17" s="48" t="s">
        <v>42</v>
      </c>
      <c r="R17" s="39" t="s">
        <v>107</v>
      </c>
      <c r="S17" s="14"/>
      <c r="T17" s="14"/>
      <c r="U17" s="14"/>
      <c r="V17" s="14"/>
      <c r="W17" s="14"/>
      <c r="X17" s="15"/>
      <c r="Y17" s="14">
        <f t="shared" si="6"/>
        <v>0</v>
      </c>
      <c r="Z17" s="15" t="e">
        <f t="shared" si="7"/>
        <v>#DIV/0!</v>
      </c>
    </row>
    <row r="18" ht="16.5" spans="1:26">
      <c r="A18" s="45"/>
      <c r="B18" s="45"/>
      <c r="C18" s="48" t="s">
        <v>44</v>
      </c>
      <c r="D18" s="39" t="s">
        <v>108</v>
      </c>
      <c r="E18" s="14">
        <v>482.5</v>
      </c>
      <c r="F18" s="14"/>
      <c r="G18" s="14">
        <v>482.5</v>
      </c>
      <c r="H18" s="14"/>
      <c r="I18" s="14">
        <v>482.5</v>
      </c>
      <c r="J18" s="15"/>
      <c r="K18" s="14">
        <f t="shared" si="4"/>
        <v>0</v>
      </c>
      <c r="L18" s="15">
        <f t="shared" si="5"/>
        <v>0</v>
      </c>
      <c r="O18" s="45"/>
      <c r="P18" s="45"/>
      <c r="Q18" s="48" t="s">
        <v>44</v>
      </c>
      <c r="R18" s="39" t="s">
        <v>108</v>
      </c>
      <c r="S18" s="14">
        <v>482.5</v>
      </c>
      <c r="T18" s="14"/>
      <c r="U18" s="14">
        <v>482.5</v>
      </c>
      <c r="V18" s="14"/>
      <c r="W18" s="14">
        <v>482.5</v>
      </c>
      <c r="X18" s="15"/>
      <c r="Y18" s="14">
        <f t="shared" si="6"/>
        <v>0</v>
      </c>
      <c r="Z18" s="15">
        <f t="shared" si="7"/>
        <v>0</v>
      </c>
    </row>
    <row r="19" ht="22.5" spans="1:26">
      <c r="A19" s="49" t="s">
        <v>46</v>
      </c>
      <c r="B19" s="49"/>
      <c r="C19" s="49"/>
      <c r="D19" s="50" t="s">
        <v>18</v>
      </c>
      <c r="E19" s="44">
        <f t="shared" ref="E19:I19" si="8">SUM(E9:E18)</f>
        <v>265182.5</v>
      </c>
      <c r="F19" s="44"/>
      <c r="G19" s="51">
        <f t="shared" si="8"/>
        <v>335182.5</v>
      </c>
      <c r="H19" s="51"/>
      <c r="I19" s="51">
        <f t="shared" si="8"/>
        <v>492727.7</v>
      </c>
      <c r="J19" s="52"/>
      <c r="K19" s="44">
        <f t="shared" si="4"/>
        <v>227545.2</v>
      </c>
      <c r="L19" s="52">
        <f t="shared" si="5"/>
        <v>0.858070196939843</v>
      </c>
      <c r="O19" s="49" t="s">
        <v>46</v>
      </c>
      <c r="P19" s="49"/>
      <c r="Q19" s="49"/>
      <c r="R19" s="50" t="s">
        <v>18</v>
      </c>
      <c r="S19" s="44">
        <f t="shared" ref="S19:W19" si="9">SUM(S9:S18)</f>
        <v>457182.5</v>
      </c>
      <c r="T19" s="44"/>
      <c r="U19" s="51">
        <f t="shared" si="9"/>
        <v>452182.5</v>
      </c>
      <c r="V19" s="51"/>
      <c r="W19" s="51">
        <f t="shared" si="9"/>
        <v>557077.88</v>
      </c>
      <c r="X19" s="52"/>
      <c r="Y19" s="44">
        <f t="shared" si="6"/>
        <v>99895.38</v>
      </c>
      <c r="Z19" s="52">
        <f t="shared" si="7"/>
        <v>0.218502195512733</v>
      </c>
    </row>
    <row r="20" ht="16.5" spans="1:26">
      <c r="A20" s="3" t="s">
        <v>61</v>
      </c>
      <c r="B20" s="3"/>
      <c r="C20" s="3" t="s">
        <v>62</v>
      </c>
      <c r="D20" s="39" t="s">
        <v>109</v>
      </c>
      <c r="E20" s="3">
        <v>14</v>
      </c>
      <c r="F20" s="3"/>
      <c r="G20" s="3"/>
      <c r="H20" s="3"/>
      <c r="I20" s="3">
        <v>14</v>
      </c>
      <c r="J20" s="3"/>
      <c r="K20" s="14"/>
      <c r="L20" s="14"/>
      <c r="O20" s="3" t="s">
        <v>61</v>
      </c>
      <c r="P20" s="3"/>
      <c r="Q20" s="3" t="s">
        <v>62</v>
      </c>
      <c r="R20" s="39" t="s">
        <v>109</v>
      </c>
      <c r="S20" s="3">
        <v>13</v>
      </c>
      <c r="T20" s="3"/>
      <c r="U20" s="3"/>
      <c r="V20" s="3"/>
      <c r="W20" s="3">
        <v>13</v>
      </c>
      <c r="X20" s="3"/>
      <c r="Y20" s="14"/>
      <c r="Z20" s="14"/>
    </row>
    <row r="21" ht="16.5" spans="1:26">
      <c r="A21" s="3"/>
      <c r="B21" s="3"/>
      <c r="C21" s="3" t="s">
        <v>64</v>
      </c>
      <c r="D21" s="39" t="s">
        <v>110</v>
      </c>
      <c r="E21" s="3">
        <v>0</v>
      </c>
      <c r="F21" s="3"/>
      <c r="G21" s="3"/>
      <c r="H21" s="3"/>
      <c r="I21" s="3">
        <v>0</v>
      </c>
      <c r="J21" s="3"/>
      <c r="K21" s="14"/>
      <c r="L21" s="14"/>
      <c r="O21" s="3"/>
      <c r="P21" s="3"/>
      <c r="Q21" s="3" t="s">
        <v>64</v>
      </c>
      <c r="R21" s="39" t="s">
        <v>110</v>
      </c>
      <c r="S21" s="3">
        <v>0</v>
      </c>
      <c r="T21" s="3"/>
      <c r="U21" s="3"/>
      <c r="V21" s="3"/>
      <c r="W21" s="3">
        <v>1</v>
      </c>
      <c r="X21" s="3"/>
      <c r="Y21" s="14"/>
      <c r="Z21" s="14"/>
    </row>
    <row r="22" ht="16.5" spans="1:26">
      <c r="A22" s="3"/>
      <c r="B22" s="3"/>
      <c r="C22" s="3" t="s">
        <v>66</v>
      </c>
      <c r="D22" s="39" t="s">
        <v>111</v>
      </c>
      <c r="E22" s="30">
        <v>14</v>
      </c>
      <c r="F22" s="30"/>
      <c r="G22" s="30"/>
      <c r="H22" s="30"/>
      <c r="I22" s="30">
        <v>14</v>
      </c>
      <c r="J22" s="30"/>
      <c r="K22" s="14"/>
      <c r="L22" s="14"/>
      <c r="O22" s="3"/>
      <c r="P22" s="3"/>
      <c r="Q22" s="3" t="s">
        <v>66</v>
      </c>
      <c r="R22" s="39" t="s">
        <v>111</v>
      </c>
      <c r="S22" s="30">
        <v>13</v>
      </c>
      <c r="T22" s="30"/>
      <c r="U22" s="30"/>
      <c r="V22" s="30"/>
      <c r="W22" s="30">
        <v>14</v>
      </c>
      <c r="X22" s="30"/>
      <c r="Y22" s="14"/>
      <c r="Z22" s="14"/>
    </row>
    <row r="23" ht="16.5" spans="1:26">
      <c r="A23" s="3" t="s">
        <v>68</v>
      </c>
      <c r="B23" s="3"/>
      <c r="C23" s="3" t="s">
        <v>69</v>
      </c>
      <c r="D23" s="39" t="s">
        <v>112</v>
      </c>
      <c r="E23" s="30">
        <v>1904</v>
      </c>
      <c r="F23" s="30"/>
      <c r="G23" s="30"/>
      <c r="H23" s="30"/>
      <c r="I23" s="30">
        <v>1904</v>
      </c>
      <c r="J23" s="30"/>
      <c r="K23" s="14"/>
      <c r="L23" s="14"/>
      <c r="O23" s="3" t="s">
        <v>68</v>
      </c>
      <c r="P23" s="3"/>
      <c r="Q23" s="3" t="s">
        <v>69</v>
      </c>
      <c r="R23" s="39" t="s">
        <v>112</v>
      </c>
      <c r="S23" s="30">
        <v>2392</v>
      </c>
      <c r="T23" s="30"/>
      <c r="U23" s="30"/>
      <c r="V23" s="30"/>
      <c r="W23" s="30">
        <v>2392</v>
      </c>
      <c r="X23" s="30"/>
      <c r="Y23" s="14"/>
      <c r="Z23" s="14"/>
    </row>
    <row r="24" ht="16.5" spans="1:26">
      <c r="A24" s="3"/>
      <c r="B24" s="3"/>
      <c r="C24" s="3" t="s">
        <v>71</v>
      </c>
      <c r="D24" s="39" t="s">
        <v>23</v>
      </c>
      <c r="E24" s="30"/>
      <c r="F24" s="30"/>
      <c r="G24" s="30"/>
      <c r="H24" s="30"/>
      <c r="I24" s="14">
        <v>125.5</v>
      </c>
      <c r="J24" s="14"/>
      <c r="K24" s="14"/>
      <c r="L24" s="14"/>
      <c r="O24" s="3"/>
      <c r="P24" s="3"/>
      <c r="Q24" s="3" t="s">
        <v>71</v>
      </c>
      <c r="R24" s="39" t="s">
        <v>23</v>
      </c>
      <c r="S24" s="30"/>
      <c r="T24" s="30"/>
      <c r="U24" s="30"/>
      <c r="V24" s="30"/>
      <c r="W24" s="30">
        <v>101</v>
      </c>
      <c r="X24" s="30"/>
      <c r="Y24" s="14"/>
      <c r="Z24" s="14"/>
    </row>
    <row r="25" ht="16.5" spans="1:26">
      <c r="A25" s="3"/>
      <c r="B25" s="3"/>
      <c r="C25" s="3" t="s">
        <v>73</v>
      </c>
      <c r="D25" s="39" t="s">
        <v>113</v>
      </c>
      <c r="E25" s="30"/>
      <c r="F25" s="30"/>
      <c r="G25" s="30"/>
      <c r="H25" s="30"/>
      <c r="I25" s="30"/>
      <c r="J25" s="30"/>
      <c r="K25" s="14"/>
      <c r="L25" s="14"/>
      <c r="O25" s="3"/>
      <c r="P25" s="3"/>
      <c r="Q25" s="3" t="s">
        <v>73</v>
      </c>
      <c r="R25" s="39" t="s">
        <v>113</v>
      </c>
      <c r="S25" s="30"/>
      <c r="T25" s="30"/>
      <c r="U25" s="30"/>
      <c r="V25" s="30"/>
      <c r="W25" s="30">
        <v>2493</v>
      </c>
      <c r="X25" s="30"/>
      <c r="Y25" s="14"/>
      <c r="Z25" s="14"/>
    </row>
    <row r="26" ht="16.5" spans="1:26">
      <c r="A26" s="10" t="s">
        <v>77</v>
      </c>
      <c r="B26" s="10"/>
      <c r="C26" s="10"/>
      <c r="D26" s="29" t="s">
        <v>78</v>
      </c>
      <c r="E26" s="32"/>
      <c r="F26" s="32"/>
      <c r="G26" s="11"/>
      <c r="H26" s="11"/>
      <c r="I26" s="11"/>
      <c r="J26" s="11"/>
      <c r="K26" s="32"/>
      <c r="L26" s="32"/>
      <c r="O26" s="10" t="s">
        <v>77</v>
      </c>
      <c r="P26" s="10"/>
      <c r="Q26" s="10"/>
      <c r="R26" s="29" t="s">
        <v>78</v>
      </c>
      <c r="S26" s="32"/>
      <c r="T26" s="32"/>
      <c r="U26" s="11"/>
      <c r="V26" s="11"/>
      <c r="W26" s="11"/>
      <c r="X26" s="11"/>
      <c r="Y26" s="32"/>
      <c r="Z26" s="32"/>
    </row>
    <row r="27" ht="16.5" spans="1:26">
      <c r="A27" s="53"/>
      <c r="B27" s="53"/>
      <c r="C27" s="8"/>
      <c r="D27" s="54" t="s">
        <v>2</v>
      </c>
      <c r="E27" s="2" t="s">
        <v>88</v>
      </c>
      <c r="F27" s="2"/>
      <c r="G27" s="36" t="s">
        <v>89</v>
      </c>
      <c r="H27" s="37"/>
      <c r="I27" s="2" t="s">
        <v>90</v>
      </c>
      <c r="J27" s="2"/>
      <c r="K27" s="2" t="s">
        <v>6</v>
      </c>
      <c r="L27" s="2"/>
      <c r="O27" s="53"/>
      <c r="P27" s="53"/>
      <c r="Q27" s="8"/>
      <c r="R27" s="54" t="s">
        <v>2</v>
      </c>
      <c r="S27" s="2" t="s">
        <v>88</v>
      </c>
      <c r="T27" s="2"/>
      <c r="U27" s="36" t="s">
        <v>89</v>
      </c>
      <c r="V27" s="37"/>
      <c r="W27" s="2" t="s">
        <v>90</v>
      </c>
      <c r="X27" s="2"/>
      <c r="Y27" s="2" t="s">
        <v>6</v>
      </c>
      <c r="Z27" s="2"/>
    </row>
    <row r="28" ht="22.5" spans="1:26">
      <c r="A28" s="55"/>
      <c r="B28" s="55"/>
      <c r="C28" s="55"/>
      <c r="D28" s="56"/>
      <c r="E28" s="2" t="s">
        <v>91</v>
      </c>
      <c r="F28" s="2" t="s">
        <v>8</v>
      </c>
      <c r="G28" s="2" t="s">
        <v>7</v>
      </c>
      <c r="H28" s="2" t="s">
        <v>8</v>
      </c>
      <c r="I28" s="2" t="s">
        <v>9</v>
      </c>
      <c r="J28" s="2" t="s">
        <v>8</v>
      </c>
      <c r="K28" s="2" t="s">
        <v>10</v>
      </c>
      <c r="L28" s="2" t="s">
        <v>11</v>
      </c>
      <c r="O28" s="55"/>
      <c r="P28" s="55"/>
      <c r="Q28" s="55"/>
      <c r="R28" s="56"/>
      <c r="S28" s="2" t="s">
        <v>91</v>
      </c>
      <c r="T28" s="2" t="s">
        <v>8</v>
      </c>
      <c r="U28" s="2" t="s">
        <v>7</v>
      </c>
      <c r="V28" s="2" t="s">
        <v>8</v>
      </c>
      <c r="W28" s="2" t="s">
        <v>9</v>
      </c>
      <c r="X28" s="2" t="s">
        <v>8</v>
      </c>
      <c r="Y28" s="2" t="s">
        <v>10</v>
      </c>
      <c r="Z28" s="2" t="s">
        <v>11</v>
      </c>
    </row>
    <row r="29" ht="16.5" spans="1:26">
      <c r="A29" s="45" t="s">
        <v>114</v>
      </c>
      <c r="B29" s="45"/>
      <c r="C29" s="57" t="s">
        <v>115</v>
      </c>
      <c r="D29" s="58" t="s">
        <v>116</v>
      </c>
      <c r="E29" s="59">
        <v>1950000</v>
      </c>
      <c r="F29" s="60"/>
      <c r="G29" s="59">
        <v>1950000</v>
      </c>
      <c r="H29" s="61"/>
      <c r="I29" s="59">
        <v>2027442</v>
      </c>
      <c r="J29" s="60"/>
      <c r="K29" s="60">
        <f>I29-E29</f>
        <v>77442</v>
      </c>
      <c r="L29" s="62">
        <f>K29/E29</f>
        <v>0.0397138461538462</v>
      </c>
      <c r="O29" s="45" t="s">
        <v>114</v>
      </c>
      <c r="P29" s="45"/>
      <c r="Q29" s="57" t="s">
        <v>115</v>
      </c>
      <c r="R29" s="58" t="s">
        <v>116</v>
      </c>
      <c r="S29" s="59">
        <v>1800000</v>
      </c>
      <c r="T29" s="60"/>
      <c r="U29" s="59">
        <v>1800000</v>
      </c>
      <c r="V29" s="61"/>
      <c r="W29" s="59">
        <v>1518491</v>
      </c>
      <c r="X29" s="60"/>
      <c r="Y29" s="60">
        <f>W29-S29</f>
        <v>-281509</v>
      </c>
      <c r="Z29" s="62">
        <f>Y29/S29</f>
        <v>-0.156393888888889</v>
      </c>
    </row>
    <row r="30" ht="16.5" spans="1:26">
      <c r="A30" s="45"/>
      <c r="B30" s="45"/>
      <c r="C30" s="63" t="s">
        <v>117</v>
      </c>
      <c r="D30" s="14" t="s">
        <v>118</v>
      </c>
      <c r="E30" s="30">
        <v>1400000</v>
      </c>
      <c r="F30" s="14"/>
      <c r="G30" s="30">
        <v>1400000</v>
      </c>
      <c r="H30" s="27"/>
      <c r="I30" s="27">
        <v>1774000</v>
      </c>
      <c r="J30" s="15"/>
      <c r="K30" s="14"/>
      <c r="L30" s="15"/>
      <c r="O30" s="45"/>
      <c r="P30" s="45"/>
      <c r="Q30" s="63" t="s">
        <v>117</v>
      </c>
      <c r="R30" s="14" t="s">
        <v>118</v>
      </c>
      <c r="S30" s="30">
        <v>1250000</v>
      </c>
      <c r="T30" s="14"/>
      <c r="U30" s="30">
        <v>1250000</v>
      </c>
      <c r="V30" s="27"/>
      <c r="W30" s="27">
        <v>2620600</v>
      </c>
      <c r="X30" s="15"/>
      <c r="Y30" s="14"/>
      <c r="Z30" s="15"/>
    </row>
    <row r="31" ht="16.5" spans="1:26">
      <c r="A31" s="45"/>
      <c r="B31" s="45"/>
      <c r="C31" s="63" t="s">
        <v>119</v>
      </c>
      <c r="D31" s="14" t="s">
        <v>120</v>
      </c>
      <c r="E31" s="30">
        <v>70000</v>
      </c>
      <c r="F31" s="14"/>
      <c r="G31" s="30">
        <v>70000</v>
      </c>
      <c r="H31" s="27"/>
      <c r="I31" s="27">
        <v>502400</v>
      </c>
      <c r="J31" s="15"/>
      <c r="K31" s="14"/>
      <c r="L31" s="15"/>
      <c r="O31" s="45"/>
      <c r="P31" s="45"/>
      <c r="Q31" s="63" t="s">
        <v>119</v>
      </c>
      <c r="R31" s="14" t="s">
        <v>120</v>
      </c>
      <c r="S31" s="30">
        <v>70000</v>
      </c>
      <c r="T31" s="14"/>
      <c r="U31" s="30">
        <v>70000</v>
      </c>
      <c r="V31" s="27"/>
      <c r="W31" s="27">
        <v>1031700</v>
      </c>
      <c r="X31" s="15"/>
      <c r="Y31" s="14"/>
      <c r="Z31" s="15"/>
    </row>
    <row r="32" ht="16.5" spans="1:26">
      <c r="A32" s="45"/>
      <c r="B32" s="45"/>
      <c r="C32" s="63" t="s">
        <v>121</v>
      </c>
      <c r="D32" s="14" t="s">
        <v>122</v>
      </c>
      <c r="E32" s="30">
        <v>150000</v>
      </c>
      <c r="F32" s="14"/>
      <c r="G32" s="30">
        <v>150000</v>
      </c>
      <c r="H32" s="27"/>
      <c r="I32" s="27">
        <v>297900</v>
      </c>
      <c r="J32" s="15"/>
      <c r="K32" s="14"/>
      <c r="L32" s="15"/>
      <c r="O32" s="45"/>
      <c r="P32" s="45"/>
      <c r="Q32" s="63" t="s">
        <v>121</v>
      </c>
      <c r="R32" s="14" t="s">
        <v>122</v>
      </c>
      <c r="S32" s="30">
        <v>80000</v>
      </c>
      <c r="T32" s="14"/>
      <c r="U32" s="30">
        <v>80000</v>
      </c>
      <c r="V32" s="27"/>
      <c r="W32" s="27">
        <v>771200</v>
      </c>
      <c r="X32" s="15"/>
      <c r="Y32" s="14"/>
      <c r="Z32" s="15"/>
    </row>
    <row r="33" ht="16.5" spans="1:26">
      <c r="A33" s="45"/>
      <c r="B33" s="45"/>
      <c r="C33" s="63" t="s">
        <v>123</v>
      </c>
      <c r="D33" s="14" t="s">
        <v>124</v>
      </c>
      <c r="E33" s="30">
        <v>3080000</v>
      </c>
      <c r="F33" s="14"/>
      <c r="G33" s="30">
        <v>3080000</v>
      </c>
      <c r="H33" s="27"/>
      <c r="I33" s="27">
        <v>3512000</v>
      </c>
      <c r="J33" s="15"/>
      <c r="K33" s="14"/>
      <c r="L33" s="15"/>
      <c r="O33" s="45"/>
      <c r="P33" s="45"/>
      <c r="Q33" s="63" t="s">
        <v>123</v>
      </c>
      <c r="R33" s="14" t="s">
        <v>124</v>
      </c>
      <c r="S33" s="30">
        <v>3720000</v>
      </c>
      <c r="T33" s="14"/>
      <c r="U33" s="30">
        <v>3720000</v>
      </c>
      <c r="V33" s="27"/>
      <c r="W33" s="27">
        <v>3878000</v>
      </c>
      <c r="X33" s="15"/>
      <c r="Y33" s="14"/>
      <c r="Z33" s="15"/>
    </row>
    <row r="34" ht="16.5" spans="1:26">
      <c r="A34" s="45"/>
      <c r="B34" s="45"/>
      <c r="C34" s="64" t="s">
        <v>125</v>
      </c>
      <c r="D34" s="58" t="s">
        <v>126</v>
      </c>
      <c r="E34" s="21">
        <f>SUM(E30:E33)</f>
        <v>4700000</v>
      </c>
      <c r="F34" s="21"/>
      <c r="G34" s="65">
        <f>SUM(G30:G33)</f>
        <v>4700000</v>
      </c>
      <c r="H34" s="65"/>
      <c r="I34" s="68">
        <f>SUM(I30:I33)</f>
        <v>6086300</v>
      </c>
      <c r="J34" s="66"/>
      <c r="K34" s="21"/>
      <c r="L34" s="66"/>
      <c r="O34" s="45"/>
      <c r="P34" s="45"/>
      <c r="Q34" s="64" t="s">
        <v>125</v>
      </c>
      <c r="R34" s="58" t="s">
        <v>126</v>
      </c>
      <c r="S34" s="21">
        <f t="shared" ref="S34:W34" si="10">SUM(S30:S33)</f>
        <v>5120000</v>
      </c>
      <c r="T34" s="21"/>
      <c r="U34" s="65">
        <f t="shared" si="10"/>
        <v>5120000</v>
      </c>
      <c r="V34" s="65"/>
      <c r="W34" s="69">
        <f t="shared" si="10"/>
        <v>8301500</v>
      </c>
      <c r="X34" s="66"/>
      <c r="Y34" s="21"/>
      <c r="Z34" s="66"/>
    </row>
    <row r="35" ht="16.5" spans="1:26">
      <c r="A35" s="45"/>
      <c r="B35" s="45"/>
      <c r="C35" s="64" t="s">
        <v>127</v>
      </c>
      <c r="D35" s="58" t="s">
        <v>128</v>
      </c>
      <c r="E35" s="67">
        <v>56000000</v>
      </c>
      <c r="F35" s="21"/>
      <c r="G35" s="67">
        <v>56000000</v>
      </c>
      <c r="H35" s="65"/>
      <c r="I35" s="65">
        <v>55894665.87</v>
      </c>
      <c r="J35" s="66"/>
      <c r="K35" s="21"/>
      <c r="L35" s="66"/>
      <c r="O35" s="45"/>
      <c r="P35" s="45"/>
      <c r="Q35" s="64" t="s">
        <v>127</v>
      </c>
      <c r="R35" s="58" t="s">
        <v>128</v>
      </c>
      <c r="S35" s="67">
        <v>39000000</v>
      </c>
      <c r="T35" s="21"/>
      <c r="U35" s="67">
        <v>39000000</v>
      </c>
      <c r="V35" s="65"/>
      <c r="W35" s="67">
        <v>44149996.76</v>
      </c>
      <c r="X35" s="67"/>
      <c r="Y35" s="67"/>
      <c r="Z35" s="66"/>
    </row>
    <row r="39" ht="22.5" spans="1:26">
      <c r="A39" s="1" t="s">
        <v>176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6.5" spans="1:26">
      <c r="A40" s="2" t="s">
        <v>1</v>
      </c>
      <c r="B40" s="2"/>
      <c r="C40" s="2"/>
      <c r="D40" s="2" t="s">
        <v>2</v>
      </c>
      <c r="E40" s="2" t="s">
        <v>3</v>
      </c>
      <c r="F40" s="2"/>
      <c r="G40" s="2"/>
      <c r="H40" s="2"/>
      <c r="I40" s="2"/>
      <c r="J40" s="2"/>
      <c r="K40" s="2"/>
      <c r="L40" s="2"/>
    </row>
    <row r="41" ht="16.5" spans="1:26">
      <c r="A41" s="2"/>
      <c r="B41" s="2"/>
      <c r="C41" s="2"/>
      <c r="D41" s="2"/>
      <c r="E41" s="2" t="s">
        <v>88</v>
      </c>
      <c r="F41" s="2"/>
      <c r="G41" s="36" t="s">
        <v>89</v>
      </c>
      <c r="H41" s="37"/>
      <c r="I41" s="2" t="s">
        <v>90</v>
      </c>
      <c r="J41" s="2"/>
      <c r="K41" s="2" t="s">
        <v>6</v>
      </c>
      <c r="L41" s="2"/>
    </row>
    <row r="42" ht="16.5" spans="1:26">
      <c r="A42" s="2"/>
      <c r="B42" s="2"/>
      <c r="C42" s="2"/>
      <c r="D42" s="2"/>
      <c r="E42" s="2" t="s">
        <v>91</v>
      </c>
      <c r="F42" s="2" t="s">
        <v>8</v>
      </c>
      <c r="G42" s="2" t="s">
        <v>7</v>
      </c>
      <c r="H42" s="2" t="s">
        <v>8</v>
      </c>
      <c r="I42" s="2" t="s">
        <v>9</v>
      </c>
      <c r="J42" s="2" t="s">
        <v>8</v>
      </c>
      <c r="K42" s="2" t="s">
        <v>10</v>
      </c>
      <c r="L42" s="2" t="s">
        <v>11</v>
      </c>
    </row>
    <row r="43" ht="16.5" spans="1:26">
      <c r="A43" s="36" t="s">
        <v>172</v>
      </c>
      <c r="B43" s="38"/>
      <c r="C43" s="37"/>
      <c r="D43" s="39" t="s">
        <v>93</v>
      </c>
      <c r="E43" s="40">
        <f>E5+S5</f>
        <v>228200</v>
      </c>
      <c r="F43" s="2"/>
      <c r="G43" s="40">
        <f>G5+U5</f>
        <v>235100</v>
      </c>
      <c r="H43" s="41"/>
      <c r="I43" s="41">
        <f>I5+W5</f>
        <v>272700</v>
      </c>
      <c r="J43" s="2"/>
      <c r="K43" s="2">
        <f t="shared" ref="K43:K46" si="11">I43-G43</f>
        <v>37600</v>
      </c>
      <c r="L43" s="6"/>
    </row>
    <row r="44" ht="16.5" spans="1:26">
      <c r="A44" s="36" t="s">
        <v>173</v>
      </c>
      <c r="B44" s="38"/>
      <c r="C44" s="37"/>
      <c r="D44" s="39" t="s">
        <v>95</v>
      </c>
      <c r="E44" s="40">
        <f>E6+S6</f>
        <v>103000</v>
      </c>
      <c r="F44" s="2"/>
      <c r="G44" s="40">
        <f>G6+U6</f>
        <v>103000</v>
      </c>
      <c r="H44" s="41"/>
      <c r="I44" s="41">
        <f>I6+W6</f>
        <v>134100</v>
      </c>
      <c r="J44" s="2"/>
      <c r="K44" s="2">
        <f t="shared" si="11"/>
        <v>31100</v>
      </c>
      <c r="L44" s="6"/>
    </row>
    <row r="45" ht="16.5" spans="1:26">
      <c r="A45" s="36" t="s">
        <v>140</v>
      </c>
      <c r="B45" s="38"/>
      <c r="C45" s="37"/>
      <c r="D45" s="39" t="s">
        <v>97</v>
      </c>
      <c r="E45" s="40">
        <f>E7+S7</f>
        <v>28800</v>
      </c>
      <c r="F45" s="2"/>
      <c r="G45" s="40">
        <f>G7+U7</f>
        <v>28800</v>
      </c>
      <c r="H45" s="41"/>
      <c r="I45" s="41">
        <f>I7+W7</f>
        <v>34900</v>
      </c>
      <c r="J45" s="2"/>
      <c r="K45" s="2">
        <f t="shared" si="11"/>
        <v>6100</v>
      </c>
      <c r="L45" s="6"/>
    </row>
    <row r="46" ht="22.5" spans="1:26">
      <c r="A46" s="42" t="s">
        <v>98</v>
      </c>
      <c r="B46" s="43"/>
      <c r="C46" s="43"/>
      <c r="D46" s="43"/>
      <c r="E46" s="44">
        <f t="shared" ref="E46:I46" si="12">SUM(E43:E45)</f>
        <v>360000</v>
      </c>
      <c r="F46" s="12"/>
      <c r="G46" s="44">
        <f t="shared" si="12"/>
        <v>366900</v>
      </c>
      <c r="H46" s="10"/>
      <c r="I46" s="44">
        <f t="shared" si="12"/>
        <v>441700</v>
      </c>
      <c r="J46" s="12"/>
      <c r="K46" s="11">
        <f t="shared" si="11"/>
        <v>74800</v>
      </c>
      <c r="L46" s="12"/>
    </row>
    <row r="47" ht="16.5" spans="1:26">
      <c r="A47" s="45" t="s">
        <v>21</v>
      </c>
      <c r="B47" s="45"/>
      <c r="C47" s="3" t="s">
        <v>177</v>
      </c>
      <c r="D47" s="39" t="s">
        <v>99</v>
      </c>
      <c r="E47" s="14">
        <f>E9+S9</f>
        <v>250000</v>
      </c>
      <c r="F47" s="15"/>
      <c r="G47" s="14">
        <f>G9+U9</f>
        <v>260000</v>
      </c>
      <c r="H47" s="46"/>
      <c r="I47" s="46">
        <f>I9+W9</f>
        <v>255520.8</v>
      </c>
      <c r="J47" s="15"/>
      <c r="K47" s="14">
        <f t="shared" ref="K47:K57" si="13">I47-E47</f>
        <v>5520.79999999999</v>
      </c>
      <c r="L47" s="15">
        <f t="shared" ref="L47:L57" si="14">K47/E47</f>
        <v>0.0220832</v>
      </c>
    </row>
    <row r="48" ht="16.5" spans="1:26">
      <c r="A48" s="45"/>
      <c r="B48" s="45"/>
      <c r="C48" s="3" t="s">
        <v>178</v>
      </c>
      <c r="D48" s="39" t="s">
        <v>100</v>
      </c>
      <c r="E48" s="14">
        <f t="shared" ref="E48:E56" si="15">E10+S10</f>
        <v>140000</v>
      </c>
      <c r="F48" s="15"/>
      <c r="G48" s="14">
        <f t="shared" ref="G48:G56" si="16">G10+U10</f>
        <v>125000</v>
      </c>
      <c r="H48" s="46"/>
      <c r="I48" s="46">
        <f t="shared" ref="I48:I56" si="17">I10+W10</f>
        <v>59331.89</v>
      </c>
      <c r="J48" s="15"/>
      <c r="K48" s="14">
        <f t="shared" si="13"/>
        <v>-80668.11</v>
      </c>
      <c r="L48" s="15">
        <f t="shared" si="14"/>
        <v>-0.576200785714286</v>
      </c>
    </row>
    <row r="49" ht="16.5" spans="1:12">
      <c r="A49" s="45"/>
      <c r="B49" s="45"/>
      <c r="C49" s="3" t="s">
        <v>179</v>
      </c>
      <c r="D49" s="39" t="s">
        <v>101</v>
      </c>
      <c r="E49" s="14">
        <f t="shared" si="15"/>
        <v>40000</v>
      </c>
      <c r="F49" s="15"/>
      <c r="G49" s="14">
        <f t="shared" si="16"/>
        <v>80000</v>
      </c>
      <c r="H49" s="46"/>
      <c r="I49" s="46">
        <f t="shared" si="17"/>
        <v>199304.21</v>
      </c>
      <c r="J49" s="15"/>
      <c r="K49" s="14">
        <f t="shared" si="13"/>
        <v>159304.21</v>
      </c>
      <c r="L49" s="15">
        <f t="shared" si="14"/>
        <v>3.98260525</v>
      </c>
    </row>
    <row r="50" ht="16.5" spans="1:12">
      <c r="A50" s="45"/>
      <c r="B50" s="45"/>
      <c r="C50" s="3" t="s">
        <v>180</v>
      </c>
      <c r="D50" s="39" t="s">
        <v>102</v>
      </c>
      <c r="E50" s="14">
        <f t="shared" si="15"/>
        <v>60000</v>
      </c>
      <c r="F50" s="15"/>
      <c r="G50" s="14">
        <f t="shared" si="16"/>
        <v>80000</v>
      </c>
      <c r="H50" s="46"/>
      <c r="I50" s="46">
        <f t="shared" si="17"/>
        <v>42759.8</v>
      </c>
      <c r="J50" s="15"/>
      <c r="K50" s="14">
        <f t="shared" si="13"/>
        <v>-17240.2</v>
      </c>
      <c r="L50" s="15">
        <f t="shared" si="14"/>
        <v>-0.287336666666667</v>
      </c>
    </row>
    <row r="51" ht="16.5" spans="1:12">
      <c r="A51" s="45"/>
      <c r="B51" s="45"/>
      <c r="C51" s="3" t="s">
        <v>181</v>
      </c>
      <c r="D51" s="39" t="s">
        <v>103</v>
      </c>
      <c r="E51" s="14">
        <f t="shared" si="15"/>
        <v>230400</v>
      </c>
      <c r="F51" s="15"/>
      <c r="G51" s="14">
        <f t="shared" si="16"/>
        <v>240400</v>
      </c>
      <c r="H51" s="14"/>
      <c r="I51" s="46">
        <f t="shared" si="17"/>
        <v>490923.88</v>
      </c>
      <c r="J51" s="15"/>
      <c r="K51" s="14">
        <f t="shared" si="13"/>
        <v>260523.88</v>
      </c>
      <c r="L51" s="15">
        <f t="shared" si="14"/>
        <v>1.13074600694444</v>
      </c>
    </row>
    <row r="52" ht="16.5" spans="1:12">
      <c r="A52" s="45"/>
      <c r="B52" s="45"/>
      <c r="C52" s="3" t="s">
        <v>32</v>
      </c>
      <c r="D52" s="39" t="s">
        <v>104</v>
      </c>
      <c r="E52" s="14"/>
      <c r="F52" s="15"/>
      <c r="G52" s="14">
        <f t="shared" si="16"/>
        <v>0</v>
      </c>
      <c r="H52" s="14"/>
      <c r="I52" s="46">
        <f t="shared" si="17"/>
        <v>0</v>
      </c>
      <c r="J52" s="15"/>
      <c r="K52" s="14">
        <f t="shared" si="13"/>
        <v>0</v>
      </c>
      <c r="L52" s="15" t="e">
        <f t="shared" si="14"/>
        <v>#DIV/0!</v>
      </c>
    </row>
    <row r="53" ht="16.5" spans="1:12">
      <c r="A53" s="45"/>
      <c r="B53" s="45"/>
      <c r="C53" s="3" t="s">
        <v>34</v>
      </c>
      <c r="D53" s="39" t="s">
        <v>105</v>
      </c>
      <c r="E53" s="14"/>
      <c r="F53" s="15"/>
      <c r="G53" s="14">
        <f t="shared" si="16"/>
        <v>0</v>
      </c>
      <c r="H53" s="14"/>
      <c r="I53" s="46">
        <f t="shared" si="17"/>
        <v>0</v>
      </c>
      <c r="J53" s="15"/>
      <c r="K53" s="14">
        <f t="shared" si="13"/>
        <v>0</v>
      </c>
      <c r="L53" s="15" t="e">
        <f t="shared" si="14"/>
        <v>#DIV/0!</v>
      </c>
    </row>
    <row r="54" ht="16.5" spans="1:12">
      <c r="A54" s="45"/>
      <c r="B54" s="45"/>
      <c r="C54" s="47" t="s">
        <v>40</v>
      </c>
      <c r="D54" s="39" t="s">
        <v>106</v>
      </c>
      <c r="E54" s="14">
        <f t="shared" si="15"/>
        <v>1000</v>
      </c>
      <c r="F54" s="14"/>
      <c r="G54" s="14">
        <f t="shared" si="16"/>
        <v>1000</v>
      </c>
      <c r="H54" s="14"/>
      <c r="I54" s="46">
        <f t="shared" si="17"/>
        <v>1000</v>
      </c>
      <c r="J54" s="15"/>
      <c r="K54" s="14">
        <f t="shared" si="13"/>
        <v>0</v>
      </c>
      <c r="L54" s="15">
        <f t="shared" si="14"/>
        <v>0</v>
      </c>
    </row>
    <row r="55" ht="16.5" spans="1:12">
      <c r="A55" s="45"/>
      <c r="B55" s="45"/>
      <c r="C55" s="48" t="s">
        <v>42</v>
      </c>
      <c r="D55" s="39" t="s">
        <v>107</v>
      </c>
      <c r="E55" s="14"/>
      <c r="F55" s="14"/>
      <c r="G55" s="14">
        <f t="shared" si="16"/>
        <v>0</v>
      </c>
      <c r="H55" s="14"/>
      <c r="I55" s="46">
        <f t="shared" si="17"/>
        <v>0</v>
      </c>
      <c r="J55" s="15"/>
      <c r="K55" s="14">
        <f t="shared" si="13"/>
        <v>0</v>
      </c>
      <c r="L55" s="15" t="e">
        <f t="shared" si="14"/>
        <v>#DIV/0!</v>
      </c>
    </row>
    <row r="56" ht="16.5" spans="1:12">
      <c r="A56" s="45"/>
      <c r="B56" s="45"/>
      <c r="C56" s="48" t="s">
        <v>44</v>
      </c>
      <c r="D56" s="39" t="s">
        <v>108</v>
      </c>
      <c r="E56" s="14">
        <f t="shared" si="15"/>
        <v>965</v>
      </c>
      <c r="F56" s="14"/>
      <c r="G56" s="14">
        <f t="shared" si="16"/>
        <v>965</v>
      </c>
      <c r="H56" s="14"/>
      <c r="I56" s="46">
        <f t="shared" si="17"/>
        <v>965</v>
      </c>
      <c r="J56" s="15"/>
      <c r="K56" s="14">
        <f t="shared" si="13"/>
        <v>0</v>
      </c>
      <c r="L56" s="15">
        <f t="shared" si="14"/>
        <v>0</v>
      </c>
    </row>
    <row r="57" ht="22.5" spans="1:12">
      <c r="A57" s="49" t="s">
        <v>46</v>
      </c>
      <c r="B57" s="49"/>
      <c r="C57" s="49"/>
      <c r="D57" s="50" t="s">
        <v>18</v>
      </c>
      <c r="E57" s="44">
        <f t="shared" ref="E57:I57" si="18">SUM(E47:E56)</f>
        <v>722365</v>
      </c>
      <c r="F57" s="44"/>
      <c r="G57" s="51">
        <f t="shared" si="18"/>
        <v>787365</v>
      </c>
      <c r="H57" s="51"/>
      <c r="I57" s="51">
        <f t="shared" si="18"/>
        <v>1049805.58</v>
      </c>
      <c r="J57" s="52"/>
      <c r="K57" s="44">
        <f t="shared" si="13"/>
        <v>327440.58</v>
      </c>
      <c r="L57" s="52">
        <f t="shared" si="14"/>
        <v>0.453289652737882</v>
      </c>
    </row>
    <row r="58" ht="16.5" spans="1:12">
      <c r="A58" s="3" t="s">
        <v>61</v>
      </c>
      <c r="B58" s="3"/>
      <c r="C58" s="3" t="s">
        <v>62</v>
      </c>
      <c r="D58" s="39" t="s">
        <v>109</v>
      </c>
      <c r="E58" s="3">
        <v>14</v>
      </c>
      <c r="F58" s="3"/>
      <c r="G58" s="3"/>
      <c r="H58" s="3"/>
      <c r="I58" s="3">
        <v>14</v>
      </c>
      <c r="J58" s="3"/>
      <c r="K58" s="14"/>
      <c r="L58" s="14"/>
    </row>
    <row r="59" ht="16.5" spans="1:12">
      <c r="A59" s="3"/>
      <c r="B59" s="3"/>
      <c r="C59" s="3" t="s">
        <v>64</v>
      </c>
      <c r="D59" s="39" t="s">
        <v>110</v>
      </c>
      <c r="E59" s="3">
        <v>0</v>
      </c>
      <c r="F59" s="3"/>
      <c r="G59" s="3"/>
      <c r="H59" s="3"/>
      <c r="I59" s="3">
        <v>0</v>
      </c>
      <c r="J59" s="3"/>
      <c r="K59" s="14"/>
      <c r="L59" s="14"/>
    </row>
    <row r="60" ht="16.5" spans="1:12">
      <c r="A60" s="3"/>
      <c r="B60" s="3"/>
      <c r="C60" s="3" t="s">
        <v>66</v>
      </c>
      <c r="D60" s="39" t="s">
        <v>111</v>
      </c>
      <c r="E60" s="30">
        <v>14</v>
      </c>
      <c r="F60" s="30"/>
      <c r="G60" s="30"/>
      <c r="H60" s="30"/>
      <c r="I60" s="30">
        <v>14</v>
      </c>
      <c r="J60" s="30"/>
      <c r="K60" s="14"/>
      <c r="L60" s="14"/>
    </row>
    <row r="61" ht="16.5" spans="1:12">
      <c r="A61" s="3" t="s">
        <v>68</v>
      </c>
      <c r="B61" s="3"/>
      <c r="C61" s="3" t="s">
        <v>69</v>
      </c>
      <c r="D61" s="39" t="s">
        <v>112</v>
      </c>
      <c r="E61" s="30">
        <v>1904</v>
      </c>
      <c r="F61" s="30"/>
      <c r="G61" s="30"/>
      <c r="H61" s="30"/>
      <c r="I61" s="30">
        <v>4296</v>
      </c>
      <c r="J61" s="30"/>
      <c r="K61" s="14"/>
      <c r="L61" s="14"/>
    </row>
    <row r="62" ht="16.5" spans="1:12">
      <c r="A62" s="3"/>
      <c r="B62" s="3"/>
      <c r="C62" s="3" t="s">
        <v>71</v>
      </c>
      <c r="D62" s="39" t="s">
        <v>23</v>
      </c>
      <c r="E62" s="30"/>
      <c r="F62" s="30"/>
      <c r="G62" s="30"/>
      <c r="H62" s="30"/>
      <c r="I62" s="30">
        <v>226.5</v>
      </c>
      <c r="J62" s="30"/>
      <c r="K62" s="14"/>
      <c r="L62" s="14"/>
    </row>
    <row r="63" ht="16.5" spans="1:12">
      <c r="A63" s="3"/>
      <c r="B63" s="3"/>
      <c r="C63" s="3" t="s">
        <v>73</v>
      </c>
      <c r="D63" s="39" t="s">
        <v>113</v>
      </c>
      <c r="E63" s="30"/>
      <c r="F63" s="30"/>
      <c r="G63" s="30"/>
      <c r="H63" s="30"/>
      <c r="I63" s="30"/>
      <c r="J63" s="30"/>
      <c r="K63" s="14"/>
      <c r="L63" s="14"/>
    </row>
    <row r="64" ht="16.5" spans="1:12">
      <c r="A64" s="10" t="s">
        <v>77</v>
      </c>
      <c r="B64" s="10"/>
      <c r="C64" s="10"/>
      <c r="D64" s="29" t="s">
        <v>78</v>
      </c>
      <c r="E64" s="32"/>
      <c r="F64" s="32"/>
      <c r="G64" s="11"/>
      <c r="H64" s="11"/>
      <c r="I64" s="11"/>
      <c r="J64" s="11"/>
      <c r="K64" s="32"/>
      <c r="L64" s="32"/>
    </row>
    <row r="65" ht="16.5" spans="1:12">
      <c r="A65" s="53"/>
      <c r="B65" s="53"/>
      <c r="C65" s="8"/>
      <c r="D65" s="54" t="s">
        <v>2</v>
      </c>
      <c r="E65" s="2" t="s">
        <v>88</v>
      </c>
      <c r="F65" s="2"/>
      <c r="G65" s="36" t="s">
        <v>89</v>
      </c>
      <c r="H65" s="37"/>
      <c r="I65" s="2" t="s">
        <v>90</v>
      </c>
      <c r="J65" s="2"/>
      <c r="K65" s="2" t="s">
        <v>6</v>
      </c>
      <c r="L65" s="2"/>
    </row>
    <row r="66" ht="22.5" spans="1:12">
      <c r="A66" s="55"/>
      <c r="B66" s="55"/>
      <c r="C66" s="55"/>
      <c r="D66" s="56"/>
      <c r="E66" s="2" t="s">
        <v>91</v>
      </c>
      <c r="F66" s="2" t="s">
        <v>8</v>
      </c>
      <c r="G66" s="2" t="s">
        <v>7</v>
      </c>
      <c r="H66" s="2" t="s">
        <v>8</v>
      </c>
      <c r="I66" s="2" t="s">
        <v>9</v>
      </c>
      <c r="J66" s="2" t="s">
        <v>8</v>
      </c>
      <c r="K66" s="2" t="s">
        <v>10</v>
      </c>
      <c r="L66" s="2" t="s">
        <v>11</v>
      </c>
    </row>
    <row r="67" ht="16.5" spans="1:12">
      <c r="A67" s="45" t="s">
        <v>114</v>
      </c>
      <c r="B67" s="45"/>
      <c r="C67" s="57" t="s">
        <v>115</v>
      </c>
      <c r="D67" s="58" t="s">
        <v>116</v>
      </c>
      <c r="E67" s="59">
        <f>E29+S29</f>
        <v>3750000</v>
      </c>
      <c r="F67" s="60"/>
      <c r="G67" s="59">
        <f>G29+U29</f>
        <v>3750000</v>
      </c>
      <c r="H67" s="61"/>
      <c r="I67" s="61">
        <f>I29+W29</f>
        <v>3545933</v>
      </c>
      <c r="J67" s="60"/>
      <c r="K67" s="60">
        <f>I67-E67</f>
        <v>-204067</v>
      </c>
      <c r="L67" s="62">
        <f>K67/E67</f>
        <v>-0.0544178666666667</v>
      </c>
    </row>
    <row r="68" ht="16.5" spans="1:12">
      <c r="A68" s="45"/>
      <c r="B68" s="45"/>
      <c r="C68" s="63" t="s">
        <v>117</v>
      </c>
      <c r="D68" s="14" t="s">
        <v>118</v>
      </c>
      <c r="E68" s="14">
        <f>E30+S30</f>
        <v>2650000</v>
      </c>
      <c r="F68" s="14"/>
      <c r="G68" s="14">
        <f>G30+U30</f>
        <v>2650000</v>
      </c>
      <c r="H68" s="27"/>
      <c r="I68" s="14">
        <f>I30+W30</f>
        <v>4394600</v>
      </c>
      <c r="J68" s="15"/>
      <c r="K68" s="14"/>
      <c r="L68" s="15"/>
    </row>
    <row r="69" ht="16.5" spans="1:12">
      <c r="A69" s="45"/>
      <c r="B69" s="45"/>
      <c r="C69" s="63" t="s">
        <v>119</v>
      </c>
      <c r="D69" s="14" t="s">
        <v>120</v>
      </c>
      <c r="E69" s="14">
        <f>E31+S31</f>
        <v>140000</v>
      </c>
      <c r="F69" s="14"/>
      <c r="G69" s="14">
        <f>G31+U31</f>
        <v>140000</v>
      </c>
      <c r="H69" s="27"/>
      <c r="I69" s="14">
        <f>I31+W31</f>
        <v>1534100</v>
      </c>
      <c r="J69" s="15"/>
      <c r="K69" s="14"/>
      <c r="L69" s="15"/>
    </row>
    <row r="70" ht="16.5" spans="1:12">
      <c r="A70" s="45"/>
      <c r="B70" s="45"/>
      <c r="C70" s="63" t="s">
        <v>121</v>
      </c>
      <c r="D70" s="14" t="s">
        <v>122</v>
      </c>
      <c r="E70" s="14">
        <f>E32+S32</f>
        <v>230000</v>
      </c>
      <c r="F70" s="14"/>
      <c r="G70" s="14">
        <f>G32+U32</f>
        <v>230000</v>
      </c>
      <c r="H70" s="27"/>
      <c r="I70" s="14">
        <f>I32+W32</f>
        <v>1069100</v>
      </c>
      <c r="J70" s="15"/>
      <c r="K70" s="14"/>
      <c r="L70" s="15"/>
    </row>
    <row r="71" ht="16.5" spans="1:12">
      <c r="A71" s="45"/>
      <c r="B71" s="45"/>
      <c r="C71" s="63" t="s">
        <v>123</v>
      </c>
      <c r="D71" s="14" t="s">
        <v>124</v>
      </c>
      <c r="E71" s="14">
        <f>E33+S33</f>
        <v>6800000</v>
      </c>
      <c r="F71" s="14"/>
      <c r="G71" s="14">
        <f>G33+U33</f>
        <v>6800000</v>
      </c>
      <c r="H71" s="27"/>
      <c r="I71" s="14">
        <f>I33+W33</f>
        <v>7390000</v>
      </c>
      <c r="J71" s="15"/>
      <c r="K71" s="14"/>
      <c r="L71" s="15"/>
    </row>
    <row r="72" ht="16.5" spans="1:12">
      <c r="A72" s="45"/>
      <c r="B72" s="45"/>
      <c r="C72" s="64" t="s">
        <v>125</v>
      </c>
      <c r="D72" s="58" t="s">
        <v>126</v>
      </c>
      <c r="E72" s="21">
        <f>SUM(E68:E71)</f>
        <v>9820000</v>
      </c>
      <c r="F72" s="21"/>
      <c r="G72" s="65">
        <f>SUM(G68:G71)</f>
        <v>9820000</v>
      </c>
      <c r="H72" s="65"/>
      <c r="I72" s="65">
        <f>SUM(I68:I71)</f>
        <v>14387800</v>
      </c>
      <c r="J72" s="66"/>
      <c r="K72" s="21"/>
      <c r="L72" s="66"/>
    </row>
    <row r="73" ht="16.5" spans="1:12">
      <c r="A73" s="45"/>
      <c r="B73" s="45"/>
      <c r="C73" s="64" t="s">
        <v>127</v>
      </c>
      <c r="D73" s="58" t="s">
        <v>128</v>
      </c>
      <c r="E73" s="67">
        <f>E35+S35</f>
        <v>95000000</v>
      </c>
      <c r="F73" s="21"/>
      <c r="G73" s="67">
        <f>G35+U35</f>
        <v>95000000</v>
      </c>
      <c r="H73" s="65"/>
      <c r="I73" s="65">
        <f>I35+W35</f>
        <v>100044662.63</v>
      </c>
      <c r="J73" s="66"/>
      <c r="K73" s="21"/>
      <c r="L73" s="66"/>
    </row>
  </sheetData>
  <mergeCells count="132">
    <mergeCell ref="A1:L1"/>
    <mergeCell ref="O1:Z1"/>
    <mergeCell ref="E2:L2"/>
    <mergeCell ref="S2:Z2"/>
    <mergeCell ref="E3:F3"/>
    <mergeCell ref="G3:H3"/>
    <mergeCell ref="I3:J3"/>
    <mergeCell ref="K3:L3"/>
    <mergeCell ref="S3:T3"/>
    <mergeCell ref="U3:V3"/>
    <mergeCell ref="W3:X3"/>
    <mergeCell ref="Y3:Z3"/>
    <mergeCell ref="A5:C5"/>
    <mergeCell ref="O5:Q5"/>
    <mergeCell ref="A6:C6"/>
    <mergeCell ref="O6:Q6"/>
    <mergeCell ref="A7:C7"/>
    <mergeCell ref="O7:Q7"/>
    <mergeCell ref="A8:D8"/>
    <mergeCell ref="O8:R8"/>
    <mergeCell ref="A19:C19"/>
    <mergeCell ref="O19:Q19"/>
    <mergeCell ref="E20:F20"/>
    <mergeCell ref="I20:J20"/>
    <mergeCell ref="K20:L20"/>
    <mergeCell ref="S20:T20"/>
    <mergeCell ref="W20:X20"/>
    <mergeCell ref="Y20:Z20"/>
    <mergeCell ref="E21:F21"/>
    <mergeCell ref="I21:J21"/>
    <mergeCell ref="K21:L21"/>
    <mergeCell ref="S21:T21"/>
    <mergeCell ref="W21:X21"/>
    <mergeCell ref="Y21:Z21"/>
    <mergeCell ref="E22:F22"/>
    <mergeCell ref="I22:J22"/>
    <mergeCell ref="K22:L22"/>
    <mergeCell ref="S22:T22"/>
    <mergeCell ref="W22:X22"/>
    <mergeCell ref="Y22:Z22"/>
    <mergeCell ref="E23:F23"/>
    <mergeCell ref="I23:J23"/>
    <mergeCell ref="K23:L23"/>
    <mergeCell ref="S23:T23"/>
    <mergeCell ref="W23:X23"/>
    <mergeCell ref="Y23:Z23"/>
    <mergeCell ref="E24:F24"/>
    <mergeCell ref="I24:J24"/>
    <mergeCell ref="K24:L24"/>
    <mergeCell ref="S24:T24"/>
    <mergeCell ref="W24:X24"/>
    <mergeCell ref="Y24:Z24"/>
    <mergeCell ref="E25:F25"/>
    <mergeCell ref="I25:J25"/>
    <mergeCell ref="K25:L25"/>
    <mergeCell ref="S25:T25"/>
    <mergeCell ref="W25:X25"/>
    <mergeCell ref="Y25:Z25"/>
    <mergeCell ref="A26:C26"/>
    <mergeCell ref="E26:F26"/>
    <mergeCell ref="I26:J26"/>
    <mergeCell ref="K26:L26"/>
    <mergeCell ref="O26:Q26"/>
    <mergeCell ref="S26:T26"/>
    <mergeCell ref="W26:X26"/>
    <mergeCell ref="Y26:Z26"/>
    <mergeCell ref="E27:F27"/>
    <mergeCell ref="G27:H27"/>
    <mergeCell ref="I27:J27"/>
    <mergeCell ref="K27:L27"/>
    <mergeCell ref="S27:T27"/>
    <mergeCell ref="U27:V27"/>
    <mergeCell ref="W27:X27"/>
    <mergeCell ref="Y27:Z27"/>
    <mergeCell ref="A39:L39"/>
    <mergeCell ref="E40:L40"/>
    <mergeCell ref="E41:F41"/>
    <mergeCell ref="G41:H41"/>
    <mergeCell ref="I41:J41"/>
    <mergeCell ref="K41:L41"/>
    <mergeCell ref="A43:C43"/>
    <mergeCell ref="A44:C44"/>
    <mergeCell ref="A45:C45"/>
    <mergeCell ref="A46:D46"/>
    <mergeCell ref="A57:C57"/>
    <mergeCell ref="E58:F58"/>
    <mergeCell ref="I58:J58"/>
    <mergeCell ref="K58:L58"/>
    <mergeCell ref="E59:F59"/>
    <mergeCell ref="I59:J59"/>
    <mergeCell ref="K59:L59"/>
    <mergeCell ref="E60:F60"/>
    <mergeCell ref="I60:J60"/>
    <mergeCell ref="K60:L60"/>
    <mergeCell ref="E61:F61"/>
    <mergeCell ref="I61:J61"/>
    <mergeCell ref="K61:L61"/>
    <mergeCell ref="E62:F62"/>
    <mergeCell ref="I62:J62"/>
    <mergeCell ref="K62:L62"/>
    <mergeCell ref="E63:F63"/>
    <mergeCell ref="I63:J63"/>
    <mergeCell ref="K63:L63"/>
    <mergeCell ref="A64:C64"/>
    <mergeCell ref="E64:F64"/>
    <mergeCell ref="I64:J64"/>
    <mergeCell ref="K64:L64"/>
    <mergeCell ref="E65:F65"/>
    <mergeCell ref="G65:H65"/>
    <mergeCell ref="I65:J65"/>
    <mergeCell ref="K65:L65"/>
    <mergeCell ref="D2:D4"/>
    <mergeCell ref="D27:D28"/>
    <mergeCell ref="D40:D42"/>
    <mergeCell ref="D65:D66"/>
    <mergeCell ref="R2:R4"/>
    <mergeCell ref="R27:R28"/>
    <mergeCell ref="A2:C4"/>
    <mergeCell ref="A9:B18"/>
    <mergeCell ref="O9:P18"/>
    <mergeCell ref="A20:B22"/>
    <mergeCell ref="O20:P22"/>
    <mergeCell ref="A23:B25"/>
    <mergeCell ref="O23:P25"/>
    <mergeCell ref="A29:B35"/>
    <mergeCell ref="O29:P35"/>
    <mergeCell ref="O2:Q4"/>
    <mergeCell ref="A40:C42"/>
    <mergeCell ref="A47:B56"/>
    <mergeCell ref="A58:B60"/>
    <mergeCell ref="A61:B63"/>
    <mergeCell ref="A67:B73"/>
  </mergeCells>
  <pageMargins left="0.75" right="0.75" top="1" bottom="1" header="0.5" footer="0.5"/>
  <pageSetup paperSize="9" orientation="portrait"/>
  <headerFooter/>
  <ignoredErrors>
    <ignoredError sqref="E72" formula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4"/>
  <sheetViews>
    <sheetView tabSelected="1" workbookViewId="0">
      <selection activeCell="R45" sqref="R45"/>
    </sheetView>
  </sheetViews>
  <sheetFormatPr defaultColWidth="9" defaultRowHeight="13.5"/>
  <cols>
    <col min="3" max="3" width="17.375" customWidth="1"/>
    <col min="4" max="4" width="14.875" customWidth="1"/>
    <col min="5" max="5" width="19.25" customWidth="1"/>
    <col min="7" max="7" width="20.5" customWidth="1"/>
    <col min="9" max="9" width="18.25" customWidth="1"/>
    <col min="11" max="11" width="15.875" customWidth="1"/>
    <col min="19" max="19" width="14.25" customWidth="1"/>
    <col min="21" max="21" width="13.125" customWidth="1"/>
    <col min="23" max="23" width="13.875" customWidth="1"/>
    <col min="25" max="25" width="15.25" customWidth="1"/>
  </cols>
  <sheetData>
    <row r="1" ht="22.5" spans="1:26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O1" s="1" t="s">
        <v>176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spans="1:26">
      <c r="A2" s="2" t="s">
        <v>1</v>
      </c>
      <c r="B2" s="2"/>
      <c r="C2" s="2"/>
      <c r="D2" s="2" t="s">
        <v>2</v>
      </c>
      <c r="E2" s="2" t="s">
        <v>3</v>
      </c>
      <c r="F2" s="2"/>
      <c r="G2" s="2"/>
      <c r="H2" s="2"/>
      <c r="I2" s="2"/>
      <c r="J2" s="2"/>
      <c r="K2" s="2"/>
      <c r="L2" s="2"/>
      <c r="O2" s="2" t="s">
        <v>1</v>
      </c>
      <c r="P2" s="2"/>
      <c r="Q2" s="2"/>
      <c r="R2" s="2" t="s">
        <v>2</v>
      </c>
      <c r="S2" s="2" t="s">
        <v>3</v>
      </c>
      <c r="T2" s="2"/>
      <c r="U2" s="2"/>
      <c r="V2" s="2"/>
      <c r="W2" s="2"/>
      <c r="X2" s="2"/>
      <c r="Y2" s="2"/>
      <c r="Z2" s="2"/>
    </row>
    <row r="3" ht="16.5" spans="1:26">
      <c r="A3" s="2"/>
      <c r="B3" s="2"/>
      <c r="C3" s="2"/>
      <c r="D3" s="2"/>
      <c r="E3" s="2" t="s">
        <v>88</v>
      </c>
      <c r="F3" s="2"/>
      <c r="G3" s="36" t="s">
        <v>89</v>
      </c>
      <c r="H3" s="37"/>
      <c r="I3" s="2" t="s">
        <v>90</v>
      </c>
      <c r="J3" s="2"/>
      <c r="K3" s="2" t="s">
        <v>6</v>
      </c>
      <c r="L3" s="2"/>
      <c r="O3" s="2"/>
      <c r="P3" s="2"/>
      <c r="Q3" s="2"/>
      <c r="R3" s="2"/>
      <c r="S3" s="2" t="s">
        <v>88</v>
      </c>
      <c r="T3" s="2"/>
      <c r="U3" s="36" t="s">
        <v>89</v>
      </c>
      <c r="V3" s="37"/>
      <c r="W3" s="2" t="s">
        <v>90</v>
      </c>
      <c r="X3" s="2"/>
      <c r="Y3" s="2" t="s">
        <v>6</v>
      </c>
      <c r="Z3" s="2"/>
    </row>
    <row r="4" ht="16.5" spans="1:26">
      <c r="A4" s="2"/>
      <c r="B4" s="2"/>
      <c r="C4" s="2"/>
      <c r="D4" s="2"/>
      <c r="E4" s="2" t="s">
        <v>91</v>
      </c>
      <c r="F4" s="2" t="s">
        <v>8</v>
      </c>
      <c r="G4" s="2" t="s">
        <v>7</v>
      </c>
      <c r="H4" s="2" t="s">
        <v>8</v>
      </c>
      <c r="I4" s="2" t="s">
        <v>9</v>
      </c>
      <c r="J4" s="2" t="s">
        <v>8</v>
      </c>
      <c r="K4" s="2" t="s">
        <v>10</v>
      </c>
      <c r="L4" s="2" t="s">
        <v>11</v>
      </c>
      <c r="O4" s="2"/>
      <c r="P4" s="2"/>
      <c r="Q4" s="2"/>
      <c r="R4" s="2"/>
      <c r="S4" s="2" t="s">
        <v>91</v>
      </c>
      <c r="T4" s="2" t="s">
        <v>8</v>
      </c>
      <c r="U4" s="2" t="s">
        <v>7</v>
      </c>
      <c r="V4" s="2" t="s">
        <v>8</v>
      </c>
      <c r="W4" s="2" t="s">
        <v>9</v>
      </c>
      <c r="X4" s="2" t="s">
        <v>8</v>
      </c>
      <c r="Y4" s="2" t="s">
        <v>10</v>
      </c>
      <c r="Z4" s="2" t="s">
        <v>11</v>
      </c>
    </row>
    <row r="5" ht="16.5" spans="1:26">
      <c r="A5" s="36" t="s">
        <v>172</v>
      </c>
      <c r="B5" s="38"/>
      <c r="C5" s="37"/>
      <c r="D5" s="39" t="s">
        <v>93</v>
      </c>
      <c r="E5" s="40">
        <v>98100</v>
      </c>
      <c r="F5" s="2"/>
      <c r="G5" s="40">
        <v>98100</v>
      </c>
      <c r="H5" s="41"/>
      <c r="I5" s="41">
        <v>181333.3</v>
      </c>
      <c r="J5" s="2"/>
      <c r="K5" s="2">
        <f t="shared" ref="K5:K8" si="0">I5-G5</f>
        <v>83233.3</v>
      </c>
      <c r="L5" s="6"/>
      <c r="O5" s="36" t="s">
        <v>172</v>
      </c>
      <c r="P5" s="38"/>
      <c r="Q5" s="37"/>
      <c r="R5" s="39" t="s">
        <v>93</v>
      </c>
      <c r="S5" s="40">
        <v>228200</v>
      </c>
      <c r="T5" s="2"/>
      <c r="U5" s="40">
        <v>235100</v>
      </c>
      <c r="V5" s="41"/>
      <c r="W5" s="41">
        <v>272700</v>
      </c>
      <c r="X5" s="2"/>
      <c r="Y5" s="2">
        <v>37600</v>
      </c>
      <c r="Z5" s="6"/>
    </row>
    <row r="6" ht="16.5" spans="1:26">
      <c r="A6" s="36" t="s">
        <v>173</v>
      </c>
      <c r="B6" s="38"/>
      <c r="C6" s="37"/>
      <c r="D6" s="39" t="s">
        <v>95</v>
      </c>
      <c r="E6" s="40">
        <v>55200</v>
      </c>
      <c r="F6" s="2"/>
      <c r="G6" s="40">
        <v>55200</v>
      </c>
      <c r="H6" s="41"/>
      <c r="I6" s="41">
        <v>54695.01</v>
      </c>
      <c r="J6" s="2"/>
      <c r="K6" s="2">
        <f t="shared" si="0"/>
        <v>-504.989999999998</v>
      </c>
      <c r="L6" s="6"/>
      <c r="O6" s="36" t="s">
        <v>173</v>
      </c>
      <c r="P6" s="38"/>
      <c r="Q6" s="37"/>
      <c r="R6" s="39" t="s">
        <v>95</v>
      </c>
      <c r="S6" s="40">
        <v>103000</v>
      </c>
      <c r="T6" s="2"/>
      <c r="U6" s="40">
        <v>103000</v>
      </c>
      <c r="V6" s="41"/>
      <c r="W6" s="41">
        <v>134100</v>
      </c>
      <c r="X6" s="2"/>
      <c r="Y6" s="2">
        <v>31100</v>
      </c>
      <c r="Z6" s="6"/>
    </row>
    <row r="7" ht="16.5" spans="1:26">
      <c r="A7" s="36" t="s">
        <v>140</v>
      </c>
      <c r="B7" s="38"/>
      <c r="C7" s="37"/>
      <c r="D7" s="39" t="s">
        <v>97</v>
      </c>
      <c r="E7" s="40">
        <v>10000</v>
      </c>
      <c r="F7" s="2"/>
      <c r="G7" s="40">
        <v>10000</v>
      </c>
      <c r="H7" s="41"/>
      <c r="I7" s="41">
        <v>29385.2</v>
      </c>
      <c r="J7" s="2"/>
      <c r="K7" s="2">
        <f t="shared" si="0"/>
        <v>19385.2</v>
      </c>
      <c r="L7" s="6"/>
      <c r="O7" s="36" t="s">
        <v>140</v>
      </c>
      <c r="P7" s="38"/>
      <c r="Q7" s="37"/>
      <c r="R7" s="39" t="s">
        <v>97</v>
      </c>
      <c r="S7" s="40">
        <v>28800</v>
      </c>
      <c r="T7" s="2"/>
      <c r="U7" s="40">
        <v>28800</v>
      </c>
      <c r="V7" s="41"/>
      <c r="W7" s="41">
        <v>34900</v>
      </c>
      <c r="X7" s="2"/>
      <c r="Y7" s="2">
        <v>6100</v>
      </c>
      <c r="Z7" s="6"/>
    </row>
    <row r="8" ht="22.5" spans="1:26">
      <c r="A8" s="42" t="s">
        <v>98</v>
      </c>
      <c r="B8" s="43"/>
      <c r="C8" s="43"/>
      <c r="D8" s="43"/>
      <c r="E8" s="44">
        <f t="shared" ref="E8:I8" si="1">SUM(E5:E7)</f>
        <v>163300</v>
      </c>
      <c r="F8" s="12"/>
      <c r="G8" s="44">
        <f t="shared" si="1"/>
        <v>163300</v>
      </c>
      <c r="H8" s="10"/>
      <c r="I8" s="44">
        <f t="shared" si="1"/>
        <v>265413.51</v>
      </c>
      <c r="J8" s="12"/>
      <c r="K8" s="11">
        <f t="shared" si="0"/>
        <v>102113.51</v>
      </c>
      <c r="L8" s="12"/>
      <c r="O8" s="42" t="s">
        <v>183</v>
      </c>
      <c r="P8" s="43"/>
      <c r="Q8" s="43"/>
      <c r="R8" s="43"/>
      <c r="S8" s="44">
        <v>360000</v>
      </c>
      <c r="T8" s="12"/>
      <c r="U8" s="44">
        <v>366900</v>
      </c>
      <c r="V8" s="10"/>
      <c r="W8" s="44">
        <v>441700</v>
      </c>
      <c r="X8" s="12"/>
      <c r="Y8" s="11">
        <v>74800</v>
      </c>
      <c r="Z8" s="12"/>
    </row>
    <row r="9" ht="16.5" spans="1:26">
      <c r="A9" s="45" t="s">
        <v>21</v>
      </c>
      <c r="B9" s="45"/>
      <c r="C9" s="3" t="s">
        <v>22</v>
      </c>
      <c r="D9" s="39" t="s">
        <v>99</v>
      </c>
      <c r="E9" s="14">
        <v>460000</v>
      </c>
      <c r="F9" s="15"/>
      <c r="G9" s="14">
        <v>460000</v>
      </c>
      <c r="H9" s="46"/>
      <c r="I9" s="46">
        <v>412956.16</v>
      </c>
      <c r="J9" s="15"/>
      <c r="K9" s="14">
        <f t="shared" ref="K9:K19" si="2">I9-E9</f>
        <v>-47043.84</v>
      </c>
      <c r="L9" s="15">
        <f t="shared" ref="L9:L19" si="3">K9/E9</f>
        <v>-0.102269217391304</v>
      </c>
      <c r="O9" s="45" t="s">
        <v>21</v>
      </c>
      <c r="P9" s="45"/>
      <c r="Q9" s="3" t="s">
        <v>177</v>
      </c>
      <c r="R9" s="39" t="s">
        <v>99</v>
      </c>
      <c r="S9" s="14">
        <v>250000</v>
      </c>
      <c r="T9" s="15"/>
      <c r="U9" s="14">
        <v>260000</v>
      </c>
      <c r="V9" s="46"/>
      <c r="W9" s="46">
        <v>255520.8</v>
      </c>
      <c r="X9" s="15"/>
      <c r="Y9" s="14">
        <v>5520.79999999999</v>
      </c>
      <c r="Z9" s="15">
        <v>0.0220832</v>
      </c>
    </row>
    <row r="10" ht="16.5" spans="1:26">
      <c r="A10" s="45"/>
      <c r="B10" s="45"/>
      <c r="C10" s="3" t="s">
        <v>24</v>
      </c>
      <c r="D10" s="39" t="s">
        <v>100</v>
      </c>
      <c r="E10" s="14">
        <v>45000</v>
      </c>
      <c r="F10" s="15"/>
      <c r="G10" s="14">
        <v>45000</v>
      </c>
      <c r="H10" s="46"/>
      <c r="I10" s="46">
        <v>15019.2</v>
      </c>
      <c r="J10" s="15"/>
      <c r="K10" s="14">
        <f t="shared" si="2"/>
        <v>-29980.8</v>
      </c>
      <c r="L10" s="15">
        <f t="shared" si="3"/>
        <v>-0.66624</v>
      </c>
      <c r="O10" s="45"/>
      <c r="P10" s="45"/>
      <c r="Q10" s="3" t="s">
        <v>178</v>
      </c>
      <c r="R10" s="39" t="s">
        <v>100</v>
      </c>
      <c r="S10" s="14">
        <v>140000</v>
      </c>
      <c r="T10" s="15"/>
      <c r="U10" s="14">
        <v>125000</v>
      </c>
      <c r="V10" s="46"/>
      <c r="W10" s="46">
        <v>63201.04</v>
      </c>
      <c r="X10" s="15"/>
      <c r="Y10" s="14">
        <v>-76798.96</v>
      </c>
      <c r="Z10" s="15">
        <v>-0.548564</v>
      </c>
    </row>
    <row r="11" ht="16.5" spans="1:26">
      <c r="A11" s="45"/>
      <c r="B11" s="45"/>
      <c r="C11" s="3" t="s">
        <v>26</v>
      </c>
      <c r="D11" s="39" t="s">
        <v>101</v>
      </c>
      <c r="E11" s="14">
        <v>0</v>
      </c>
      <c r="F11" s="15"/>
      <c r="G11" s="14">
        <v>0</v>
      </c>
      <c r="H11" s="46"/>
      <c r="I11" s="14">
        <v>87820</v>
      </c>
      <c r="J11" s="15"/>
      <c r="K11" s="14">
        <f t="shared" si="2"/>
        <v>87820</v>
      </c>
      <c r="L11" s="15" t="e">
        <f t="shared" si="3"/>
        <v>#DIV/0!</v>
      </c>
      <c r="O11" s="45"/>
      <c r="P11" s="45"/>
      <c r="Q11" s="3" t="s">
        <v>179</v>
      </c>
      <c r="R11" s="39" t="s">
        <v>101</v>
      </c>
      <c r="S11" s="14">
        <v>40000</v>
      </c>
      <c r="T11" s="15"/>
      <c r="U11" s="14">
        <v>80000</v>
      </c>
      <c r="V11" s="46"/>
      <c r="W11" s="46">
        <v>199304.21</v>
      </c>
      <c r="X11" s="15"/>
      <c r="Y11" s="14">
        <v>159304.21</v>
      </c>
      <c r="Z11" s="15">
        <v>3.98260525</v>
      </c>
    </row>
    <row r="12" ht="16.5" spans="1:26">
      <c r="A12" s="45"/>
      <c r="B12" s="45"/>
      <c r="C12" s="3" t="s">
        <v>28</v>
      </c>
      <c r="D12" s="39" t="s">
        <v>102</v>
      </c>
      <c r="E12" s="14">
        <v>75000</v>
      </c>
      <c r="F12" s="15"/>
      <c r="G12" s="14">
        <v>75000</v>
      </c>
      <c r="H12" s="46"/>
      <c r="I12" s="46">
        <v>35405</v>
      </c>
      <c r="J12" s="15"/>
      <c r="K12" s="14">
        <f t="shared" si="2"/>
        <v>-39595</v>
      </c>
      <c r="L12" s="15">
        <f t="shared" si="3"/>
        <v>-0.527933333333333</v>
      </c>
      <c r="O12" s="45"/>
      <c r="P12" s="45"/>
      <c r="Q12" s="3" t="s">
        <v>180</v>
      </c>
      <c r="R12" s="39" t="s">
        <v>102</v>
      </c>
      <c r="S12" s="14">
        <v>60000</v>
      </c>
      <c r="T12" s="15"/>
      <c r="U12" s="14">
        <v>80000</v>
      </c>
      <c r="V12" s="46"/>
      <c r="W12" s="46">
        <v>42759.8</v>
      </c>
      <c r="X12" s="15"/>
      <c r="Y12" s="14">
        <v>-17240.2</v>
      </c>
      <c r="Z12" s="15">
        <v>-0.287336666666667</v>
      </c>
    </row>
    <row r="13" ht="16.5" spans="1:26">
      <c r="A13" s="45"/>
      <c r="B13" s="45"/>
      <c r="C13" s="3" t="s">
        <v>30</v>
      </c>
      <c r="D13" s="39" t="s">
        <v>103</v>
      </c>
      <c r="E13" s="14">
        <v>78800</v>
      </c>
      <c r="F13" s="15"/>
      <c r="G13" s="14">
        <v>78800</v>
      </c>
      <c r="H13" s="14"/>
      <c r="I13" s="14">
        <v>145206.33</v>
      </c>
      <c r="J13" s="15"/>
      <c r="K13" s="14">
        <f t="shared" si="2"/>
        <v>66406.33</v>
      </c>
      <c r="L13" s="15">
        <f t="shared" si="3"/>
        <v>0.842719923857868</v>
      </c>
      <c r="O13" s="45"/>
      <c r="P13" s="45"/>
      <c r="Q13" s="3" t="s">
        <v>181</v>
      </c>
      <c r="R13" s="39" t="s">
        <v>103</v>
      </c>
      <c r="S13" s="14">
        <v>230400</v>
      </c>
      <c r="T13" s="15"/>
      <c r="U13" s="14">
        <v>240400</v>
      </c>
      <c r="V13" s="14"/>
      <c r="W13" s="46">
        <v>490923.88</v>
      </c>
      <c r="X13" s="15"/>
      <c r="Y13" s="14">
        <v>260523.88</v>
      </c>
      <c r="Z13" s="15">
        <v>1.13074600694444</v>
      </c>
    </row>
    <row r="14" ht="16.5" spans="1:26">
      <c r="A14" s="45"/>
      <c r="B14" s="45"/>
      <c r="C14" s="3" t="s">
        <v>32</v>
      </c>
      <c r="D14" s="39" t="s">
        <v>104</v>
      </c>
      <c r="E14" s="14"/>
      <c r="F14" s="15"/>
      <c r="G14" s="14"/>
      <c r="H14" s="14"/>
      <c r="I14" s="14"/>
      <c r="J14" s="15"/>
      <c r="K14" s="14">
        <f t="shared" si="2"/>
        <v>0</v>
      </c>
      <c r="L14" s="15" t="e">
        <f t="shared" si="3"/>
        <v>#DIV/0!</v>
      </c>
      <c r="O14" s="45"/>
      <c r="P14" s="45"/>
      <c r="Q14" s="3" t="s">
        <v>32</v>
      </c>
      <c r="R14" s="39" t="s">
        <v>104</v>
      </c>
      <c r="S14" s="14"/>
      <c r="T14" s="15"/>
      <c r="U14" s="14">
        <v>0</v>
      </c>
      <c r="V14" s="14"/>
      <c r="W14" s="46">
        <v>0</v>
      </c>
      <c r="X14" s="15"/>
      <c r="Y14" s="14">
        <v>0</v>
      </c>
      <c r="Z14" s="15" t="e">
        <v>#DIV/0!</v>
      </c>
    </row>
    <row r="15" ht="16.5" spans="1:26">
      <c r="A15" s="45"/>
      <c r="B15" s="45"/>
      <c r="C15" s="3" t="s">
        <v>34</v>
      </c>
      <c r="D15" s="39" t="s">
        <v>105</v>
      </c>
      <c r="E15" s="14"/>
      <c r="F15" s="15"/>
      <c r="G15" s="14"/>
      <c r="H15" s="14"/>
      <c r="I15" s="14"/>
      <c r="J15" s="15"/>
      <c r="K15" s="14">
        <f t="shared" si="2"/>
        <v>0</v>
      </c>
      <c r="L15" s="15" t="e">
        <f t="shared" si="3"/>
        <v>#DIV/0!</v>
      </c>
      <c r="O15" s="45"/>
      <c r="P15" s="45"/>
      <c r="Q15" s="3" t="s">
        <v>34</v>
      </c>
      <c r="R15" s="39" t="s">
        <v>105</v>
      </c>
      <c r="S15" s="14"/>
      <c r="T15" s="15"/>
      <c r="U15" s="14">
        <v>0</v>
      </c>
      <c r="V15" s="14"/>
      <c r="W15" s="46">
        <v>0</v>
      </c>
      <c r="X15" s="15"/>
      <c r="Y15" s="14">
        <v>0</v>
      </c>
      <c r="Z15" s="15" t="e">
        <v>#DIV/0!</v>
      </c>
    </row>
    <row r="16" ht="16.5" spans="1:26">
      <c r="A16" s="45"/>
      <c r="B16" s="45"/>
      <c r="C16" s="47" t="s">
        <v>40</v>
      </c>
      <c r="D16" s="39" t="s">
        <v>106</v>
      </c>
      <c r="E16" s="14">
        <v>500</v>
      </c>
      <c r="F16" s="14"/>
      <c r="G16" s="14">
        <v>500</v>
      </c>
      <c r="H16" s="14"/>
      <c r="I16" s="14">
        <v>500</v>
      </c>
      <c r="J16" s="15"/>
      <c r="K16" s="14">
        <f t="shared" si="2"/>
        <v>0</v>
      </c>
      <c r="L16" s="15">
        <f t="shared" si="3"/>
        <v>0</v>
      </c>
      <c r="O16" s="45"/>
      <c r="P16" s="45"/>
      <c r="Q16" s="47" t="s">
        <v>40</v>
      </c>
      <c r="R16" s="39" t="s">
        <v>106</v>
      </c>
      <c r="S16" s="14">
        <v>1000</v>
      </c>
      <c r="T16" s="14"/>
      <c r="U16" s="14">
        <v>1000</v>
      </c>
      <c r="V16" s="14"/>
      <c r="W16" s="46">
        <v>1000</v>
      </c>
      <c r="X16" s="15"/>
      <c r="Y16" s="14">
        <v>0</v>
      </c>
      <c r="Z16" s="15">
        <v>0</v>
      </c>
    </row>
    <row r="17" ht="16.5" spans="1:26">
      <c r="A17" s="45"/>
      <c r="B17" s="45"/>
      <c r="C17" s="48" t="s">
        <v>42</v>
      </c>
      <c r="D17" s="39" t="s">
        <v>107</v>
      </c>
      <c r="E17" s="14"/>
      <c r="F17" s="14"/>
      <c r="G17" s="14"/>
      <c r="H17" s="14"/>
      <c r="I17" s="14"/>
      <c r="J17" s="15"/>
      <c r="K17" s="14">
        <f t="shared" si="2"/>
        <v>0</v>
      </c>
      <c r="L17" s="15" t="e">
        <f t="shared" si="3"/>
        <v>#DIV/0!</v>
      </c>
      <c r="O17" s="45"/>
      <c r="P17" s="45"/>
      <c r="Q17" s="48" t="s">
        <v>42</v>
      </c>
      <c r="R17" s="39" t="s">
        <v>107</v>
      </c>
      <c r="S17" s="14"/>
      <c r="T17" s="14"/>
      <c r="U17" s="14">
        <v>0</v>
      </c>
      <c r="V17" s="14"/>
      <c r="W17" s="46">
        <v>0</v>
      </c>
      <c r="X17" s="15"/>
      <c r="Y17" s="14">
        <v>0</v>
      </c>
      <c r="Z17" s="15" t="e">
        <v>#DIV/0!</v>
      </c>
    </row>
    <row r="18" ht="16.5" spans="1:26">
      <c r="A18" s="45"/>
      <c r="B18" s="45"/>
      <c r="C18" s="48" t="s">
        <v>44</v>
      </c>
      <c r="D18" s="39" t="s">
        <v>108</v>
      </c>
      <c r="E18" s="14">
        <v>482.5</v>
      </c>
      <c r="F18" s="14"/>
      <c r="G18" s="14">
        <v>482.5</v>
      </c>
      <c r="H18" s="14"/>
      <c r="I18" s="14">
        <v>482.5</v>
      </c>
      <c r="J18" s="15"/>
      <c r="K18" s="14">
        <f t="shared" si="2"/>
        <v>0</v>
      </c>
      <c r="L18" s="15">
        <f t="shared" si="3"/>
        <v>0</v>
      </c>
      <c r="O18" s="45"/>
      <c r="P18" s="45"/>
      <c r="Q18" s="48" t="s">
        <v>44</v>
      </c>
      <c r="R18" s="39" t="s">
        <v>108</v>
      </c>
      <c r="S18" s="14">
        <v>965</v>
      </c>
      <c r="T18" s="14"/>
      <c r="U18" s="14">
        <v>965</v>
      </c>
      <c r="V18" s="14"/>
      <c r="W18" s="46">
        <v>965</v>
      </c>
      <c r="X18" s="15"/>
      <c r="Y18" s="14">
        <v>0</v>
      </c>
      <c r="Z18" s="15">
        <v>0</v>
      </c>
    </row>
    <row r="19" ht="22.5" spans="1:26">
      <c r="A19" s="49" t="s">
        <v>46</v>
      </c>
      <c r="B19" s="49"/>
      <c r="C19" s="49"/>
      <c r="D19" s="50" t="s">
        <v>18</v>
      </c>
      <c r="E19" s="44">
        <f t="shared" ref="E19:I19" si="4">SUM(E9:E18)</f>
        <v>659782.5</v>
      </c>
      <c r="F19" s="44"/>
      <c r="G19" s="51">
        <f t="shared" si="4"/>
        <v>659782.5</v>
      </c>
      <c r="H19" s="51"/>
      <c r="I19" s="51">
        <f t="shared" si="4"/>
        <v>697389.19</v>
      </c>
      <c r="J19" s="52"/>
      <c r="K19" s="44">
        <f t="shared" si="2"/>
        <v>37606.6899999999</v>
      </c>
      <c r="L19" s="52">
        <f t="shared" si="3"/>
        <v>0.0569986169684706</v>
      </c>
      <c r="O19" s="49" t="s">
        <v>46</v>
      </c>
      <c r="P19" s="49"/>
      <c r="Q19" s="49"/>
      <c r="R19" s="50" t="s">
        <v>18</v>
      </c>
      <c r="S19" s="44">
        <v>722365</v>
      </c>
      <c r="T19" s="44"/>
      <c r="U19" s="51">
        <v>787365</v>
      </c>
      <c r="V19" s="51"/>
      <c r="W19" s="51">
        <v>1053674.73</v>
      </c>
      <c r="X19" s="52"/>
      <c r="Y19" s="44">
        <v>331309.73</v>
      </c>
      <c r="Z19" s="52">
        <v>0.458645878468641</v>
      </c>
    </row>
    <row r="20" ht="16.5" spans="1:26">
      <c r="A20" s="3" t="s">
        <v>61</v>
      </c>
      <c r="B20" s="3"/>
      <c r="C20" s="3" t="s">
        <v>62</v>
      </c>
      <c r="D20" s="39" t="s">
        <v>109</v>
      </c>
      <c r="E20" s="3">
        <v>14</v>
      </c>
      <c r="F20" s="3"/>
      <c r="G20" s="3"/>
      <c r="H20" s="3"/>
      <c r="I20" s="3">
        <v>14</v>
      </c>
      <c r="J20" s="3"/>
      <c r="K20" s="14"/>
      <c r="L20" s="14"/>
      <c r="O20" s="3" t="s">
        <v>61</v>
      </c>
      <c r="P20" s="3"/>
      <c r="Q20" s="3" t="s">
        <v>62</v>
      </c>
      <c r="R20" s="39" t="s">
        <v>109</v>
      </c>
      <c r="S20" s="3">
        <v>14</v>
      </c>
      <c r="T20" s="3"/>
      <c r="U20" s="3"/>
      <c r="V20" s="3"/>
      <c r="W20" s="3">
        <v>14</v>
      </c>
      <c r="X20" s="3"/>
      <c r="Y20" s="14"/>
      <c r="Z20" s="14"/>
    </row>
    <row r="21" ht="16.5" spans="1:26">
      <c r="A21" s="3"/>
      <c r="B21" s="3"/>
      <c r="C21" s="3" t="s">
        <v>64</v>
      </c>
      <c r="D21" s="39" t="s">
        <v>110</v>
      </c>
      <c r="E21" s="3">
        <v>0</v>
      </c>
      <c r="F21" s="3"/>
      <c r="G21" s="3"/>
      <c r="H21" s="3"/>
      <c r="I21" s="3">
        <v>0</v>
      </c>
      <c r="J21" s="3"/>
      <c r="K21" s="14"/>
      <c r="L21" s="14"/>
      <c r="O21" s="3"/>
      <c r="P21" s="3"/>
      <c r="Q21" s="3" t="s">
        <v>64</v>
      </c>
      <c r="R21" s="39" t="s">
        <v>110</v>
      </c>
      <c r="S21" s="3">
        <v>0</v>
      </c>
      <c r="T21" s="3"/>
      <c r="U21" s="3"/>
      <c r="V21" s="3"/>
      <c r="W21" s="3">
        <v>0</v>
      </c>
      <c r="X21" s="3"/>
      <c r="Y21" s="14"/>
      <c r="Z21" s="14"/>
    </row>
    <row r="22" ht="16.5" spans="1:26">
      <c r="A22" s="3"/>
      <c r="B22" s="3"/>
      <c r="C22" s="3" t="s">
        <v>66</v>
      </c>
      <c r="D22" s="39" t="s">
        <v>111</v>
      </c>
      <c r="E22" s="30">
        <v>14</v>
      </c>
      <c r="F22" s="30"/>
      <c r="G22" s="30"/>
      <c r="H22" s="30"/>
      <c r="I22" s="30">
        <v>14</v>
      </c>
      <c r="J22" s="30"/>
      <c r="K22" s="14"/>
      <c r="L22" s="14"/>
      <c r="O22" s="3"/>
      <c r="P22" s="3"/>
      <c r="Q22" s="3" t="s">
        <v>66</v>
      </c>
      <c r="R22" s="39" t="s">
        <v>111</v>
      </c>
      <c r="S22" s="30">
        <v>14</v>
      </c>
      <c r="T22" s="30"/>
      <c r="U22" s="30"/>
      <c r="V22" s="30"/>
      <c r="W22" s="30">
        <v>14</v>
      </c>
      <c r="X22" s="30"/>
      <c r="Y22" s="14"/>
      <c r="Z22" s="14"/>
    </row>
    <row r="23" ht="16.5" spans="1:26">
      <c r="A23" s="3" t="s">
        <v>68</v>
      </c>
      <c r="B23" s="3"/>
      <c r="C23" s="3" t="s">
        <v>69</v>
      </c>
      <c r="D23" s="39" t="s">
        <v>112</v>
      </c>
      <c r="E23" s="30">
        <v>2688</v>
      </c>
      <c r="F23" s="30"/>
      <c r="G23" s="30"/>
      <c r="H23" s="30"/>
      <c r="I23" s="30">
        <v>2688</v>
      </c>
      <c r="J23" s="30"/>
      <c r="K23" s="14"/>
      <c r="L23" s="14"/>
      <c r="O23" s="3" t="s">
        <v>68</v>
      </c>
      <c r="P23" s="3"/>
      <c r="Q23" s="3" t="s">
        <v>69</v>
      </c>
      <c r="R23" s="39" t="s">
        <v>112</v>
      </c>
      <c r="S23" s="30">
        <v>1904</v>
      </c>
      <c r="T23" s="30"/>
      <c r="U23" s="30"/>
      <c r="V23" s="30"/>
      <c r="W23" s="30">
        <v>4296</v>
      </c>
      <c r="X23" s="30"/>
      <c r="Y23" s="14"/>
      <c r="Z23" s="14"/>
    </row>
    <row r="24" ht="16.5" spans="1:26">
      <c r="A24" s="3"/>
      <c r="B24" s="3"/>
      <c r="C24" s="3" t="s">
        <v>71</v>
      </c>
      <c r="D24" s="39" t="s">
        <v>23</v>
      </c>
      <c r="E24" s="30">
        <v>80</v>
      </c>
      <c r="F24" s="30"/>
      <c r="G24" s="30"/>
      <c r="H24" s="30"/>
      <c r="I24" s="30">
        <v>65</v>
      </c>
      <c r="J24" s="30"/>
      <c r="K24" s="14"/>
      <c r="L24" s="14"/>
      <c r="O24" s="3"/>
      <c r="P24" s="3"/>
      <c r="Q24" s="3" t="s">
        <v>71</v>
      </c>
      <c r="R24" s="39" t="s">
        <v>23</v>
      </c>
      <c r="S24" s="30"/>
      <c r="T24" s="30"/>
      <c r="U24" s="30"/>
      <c r="V24" s="30"/>
      <c r="W24" s="30">
        <v>226.5</v>
      </c>
      <c r="X24" s="30"/>
      <c r="Y24" s="14"/>
      <c r="Z24" s="14"/>
    </row>
    <row r="25" ht="16.5" spans="1:26">
      <c r="A25" s="3"/>
      <c r="B25" s="3"/>
      <c r="C25" s="3" t="s">
        <v>73</v>
      </c>
      <c r="D25" s="39" t="s">
        <v>113</v>
      </c>
      <c r="E25" s="30"/>
      <c r="F25" s="30"/>
      <c r="G25" s="30"/>
      <c r="H25" s="30"/>
      <c r="I25" s="30"/>
      <c r="J25" s="30"/>
      <c r="K25" s="14"/>
      <c r="L25" s="14"/>
      <c r="O25" s="3"/>
      <c r="P25" s="3"/>
      <c r="Q25" s="3" t="s">
        <v>73</v>
      </c>
      <c r="R25" s="39" t="s">
        <v>113</v>
      </c>
      <c r="S25" s="30"/>
      <c r="T25" s="30"/>
      <c r="U25" s="30"/>
      <c r="V25" s="30"/>
      <c r="W25" s="30"/>
      <c r="X25" s="30"/>
      <c r="Y25" s="14"/>
      <c r="Z25" s="14"/>
    </row>
    <row r="26" ht="16.5" spans="1:26">
      <c r="A26" s="10" t="s">
        <v>77</v>
      </c>
      <c r="B26" s="10"/>
      <c r="C26" s="10"/>
      <c r="D26" s="29" t="s">
        <v>78</v>
      </c>
      <c r="E26" s="32"/>
      <c r="F26" s="32"/>
      <c r="G26" s="11"/>
      <c r="H26" s="11"/>
      <c r="I26" s="11"/>
      <c r="J26" s="11"/>
      <c r="K26" s="32"/>
      <c r="L26" s="32"/>
      <c r="O26" s="10" t="s">
        <v>77</v>
      </c>
      <c r="P26" s="10"/>
      <c r="Q26" s="10"/>
      <c r="R26" s="29" t="s">
        <v>184</v>
      </c>
      <c r="S26" s="32"/>
      <c r="T26" s="32"/>
      <c r="U26" s="11"/>
      <c r="V26" s="11"/>
      <c r="W26" s="11"/>
      <c r="X26" s="11"/>
      <c r="Y26" s="32"/>
      <c r="Z26" s="32"/>
    </row>
    <row r="27" ht="16.5" spans="1:26">
      <c r="A27" s="53"/>
      <c r="B27" s="53"/>
      <c r="C27" s="8"/>
      <c r="D27" s="54" t="s">
        <v>2</v>
      </c>
      <c r="E27" s="2" t="s">
        <v>88</v>
      </c>
      <c r="F27" s="2"/>
      <c r="G27" s="36" t="s">
        <v>89</v>
      </c>
      <c r="H27" s="37"/>
      <c r="I27" s="2" t="s">
        <v>90</v>
      </c>
      <c r="J27" s="2"/>
      <c r="K27" s="2" t="s">
        <v>6</v>
      </c>
      <c r="L27" s="2"/>
      <c r="O27" s="53"/>
      <c r="P27" s="53"/>
      <c r="Q27" s="8"/>
      <c r="R27" s="54" t="s">
        <v>2</v>
      </c>
      <c r="S27" s="2" t="s">
        <v>88</v>
      </c>
      <c r="T27" s="2"/>
      <c r="U27" s="36" t="s">
        <v>89</v>
      </c>
      <c r="V27" s="37"/>
      <c r="W27" s="2" t="s">
        <v>90</v>
      </c>
      <c r="X27" s="2"/>
      <c r="Y27" s="2" t="s">
        <v>6</v>
      </c>
      <c r="Z27" s="2"/>
    </row>
    <row r="28" ht="22.5" spans="1:26">
      <c r="A28" s="55"/>
      <c r="B28" s="55"/>
      <c r="C28" s="55"/>
      <c r="D28" s="56"/>
      <c r="E28" s="2" t="s">
        <v>91</v>
      </c>
      <c r="F28" s="2" t="s">
        <v>8</v>
      </c>
      <c r="G28" s="2" t="s">
        <v>7</v>
      </c>
      <c r="H28" s="2" t="s">
        <v>8</v>
      </c>
      <c r="I28" s="2" t="s">
        <v>9</v>
      </c>
      <c r="J28" s="2" t="s">
        <v>8</v>
      </c>
      <c r="K28" s="2" t="s">
        <v>10</v>
      </c>
      <c r="L28" s="2" t="s">
        <v>11</v>
      </c>
      <c r="O28" s="55"/>
      <c r="P28" s="55"/>
      <c r="Q28" s="55"/>
      <c r="R28" s="56"/>
      <c r="S28" s="2" t="s">
        <v>91</v>
      </c>
      <c r="T28" s="2" t="s">
        <v>8</v>
      </c>
      <c r="U28" s="2" t="s">
        <v>7</v>
      </c>
      <c r="V28" s="2" t="s">
        <v>8</v>
      </c>
      <c r="W28" s="2" t="s">
        <v>9</v>
      </c>
      <c r="X28" s="2" t="s">
        <v>8</v>
      </c>
      <c r="Y28" s="2" t="s">
        <v>10</v>
      </c>
      <c r="Z28" s="2" t="s">
        <v>11</v>
      </c>
    </row>
    <row r="29" ht="16.5" spans="1:26">
      <c r="A29" s="45" t="s">
        <v>114</v>
      </c>
      <c r="B29" s="45"/>
      <c r="C29" s="57" t="s">
        <v>115</v>
      </c>
      <c r="D29" s="58" t="s">
        <v>116</v>
      </c>
      <c r="E29" s="59">
        <v>1600000</v>
      </c>
      <c r="F29" s="60"/>
      <c r="G29" s="59"/>
      <c r="H29" s="61"/>
      <c r="I29" s="61"/>
      <c r="J29" s="60"/>
      <c r="K29" s="60">
        <f>I29-E29</f>
        <v>-1600000</v>
      </c>
      <c r="L29" s="62">
        <f>K29/E29</f>
        <v>-1</v>
      </c>
      <c r="O29" s="45" t="s">
        <v>114</v>
      </c>
      <c r="P29" s="45"/>
      <c r="Q29" s="57" t="s">
        <v>115</v>
      </c>
      <c r="R29" s="58" t="s">
        <v>116</v>
      </c>
      <c r="S29" s="59">
        <v>3750000</v>
      </c>
      <c r="T29" s="60"/>
      <c r="U29" s="59">
        <v>3750000</v>
      </c>
      <c r="V29" s="61"/>
      <c r="W29" s="61">
        <v>3545933</v>
      </c>
      <c r="X29" s="60"/>
      <c r="Y29" s="60">
        <v>-204067</v>
      </c>
      <c r="Z29" s="62">
        <v>-0.0544178666666667</v>
      </c>
    </row>
    <row r="30" ht="16.5" spans="1:26">
      <c r="A30" s="45"/>
      <c r="B30" s="45"/>
      <c r="C30" s="63" t="s">
        <v>117</v>
      </c>
      <c r="D30" s="14" t="s">
        <v>118</v>
      </c>
      <c r="E30" s="14">
        <v>1200000</v>
      </c>
      <c r="F30" s="14"/>
      <c r="G30" s="14"/>
      <c r="H30" s="27"/>
      <c r="I30" s="27"/>
      <c r="J30" s="15"/>
      <c r="K30" s="14"/>
      <c r="L30" s="15"/>
      <c r="O30" s="45"/>
      <c r="P30" s="45"/>
      <c r="Q30" s="63" t="s">
        <v>117</v>
      </c>
      <c r="R30" s="14" t="s">
        <v>118</v>
      </c>
      <c r="S30" s="14">
        <v>2650000</v>
      </c>
      <c r="T30" s="14"/>
      <c r="U30" s="14">
        <v>2650000</v>
      </c>
      <c r="V30" s="27"/>
      <c r="W30" s="14">
        <v>4394600</v>
      </c>
      <c r="X30" s="15"/>
      <c r="Y30" s="14"/>
      <c r="Z30" s="15"/>
    </row>
    <row r="31" ht="16.5" spans="1:26">
      <c r="A31" s="45"/>
      <c r="B31" s="45"/>
      <c r="C31" s="63" t="s">
        <v>119</v>
      </c>
      <c r="D31" s="14" t="s">
        <v>120</v>
      </c>
      <c r="E31" s="14">
        <v>60000</v>
      </c>
      <c r="F31" s="14"/>
      <c r="G31" s="14"/>
      <c r="H31" s="27"/>
      <c r="I31" s="27"/>
      <c r="J31" s="15"/>
      <c r="K31" s="14"/>
      <c r="L31" s="15"/>
      <c r="O31" s="45"/>
      <c r="P31" s="45"/>
      <c r="Q31" s="63" t="s">
        <v>119</v>
      </c>
      <c r="R31" s="14" t="s">
        <v>120</v>
      </c>
      <c r="S31" s="14">
        <v>140000</v>
      </c>
      <c r="T31" s="14"/>
      <c r="U31" s="14">
        <v>140000</v>
      </c>
      <c r="V31" s="27"/>
      <c r="W31" s="14">
        <v>1534100</v>
      </c>
      <c r="X31" s="15"/>
      <c r="Y31" s="14"/>
      <c r="Z31" s="15"/>
    </row>
    <row r="32" ht="16.5" spans="1:26">
      <c r="A32" s="45"/>
      <c r="B32" s="45"/>
      <c r="C32" s="63" t="s">
        <v>121</v>
      </c>
      <c r="D32" s="14" t="s">
        <v>122</v>
      </c>
      <c r="E32" s="14">
        <v>90000</v>
      </c>
      <c r="F32" s="14"/>
      <c r="G32" s="14"/>
      <c r="H32" s="27"/>
      <c r="I32" s="27"/>
      <c r="J32" s="15"/>
      <c r="K32" s="14"/>
      <c r="L32" s="15"/>
      <c r="O32" s="45"/>
      <c r="P32" s="45"/>
      <c r="Q32" s="63" t="s">
        <v>121</v>
      </c>
      <c r="R32" s="14" t="s">
        <v>122</v>
      </c>
      <c r="S32" s="14">
        <v>230000</v>
      </c>
      <c r="T32" s="14"/>
      <c r="U32" s="14">
        <v>230000</v>
      </c>
      <c r="V32" s="27"/>
      <c r="W32" s="14">
        <v>1069100</v>
      </c>
      <c r="X32" s="15"/>
      <c r="Y32" s="14"/>
      <c r="Z32" s="15"/>
    </row>
    <row r="33" ht="16.5" spans="1:26">
      <c r="A33" s="45"/>
      <c r="B33" s="45"/>
      <c r="C33" s="63" t="s">
        <v>123</v>
      </c>
      <c r="D33" s="14" t="s">
        <v>124</v>
      </c>
      <c r="E33" s="14">
        <v>3300000</v>
      </c>
      <c r="F33" s="14"/>
      <c r="G33" s="14"/>
      <c r="H33" s="27"/>
      <c r="I33" s="27"/>
      <c r="J33" s="15"/>
      <c r="K33" s="14"/>
      <c r="L33" s="15"/>
      <c r="O33" s="45"/>
      <c r="P33" s="45"/>
      <c r="Q33" s="63" t="s">
        <v>123</v>
      </c>
      <c r="R33" s="14" t="s">
        <v>124</v>
      </c>
      <c r="S33" s="14">
        <v>6800000</v>
      </c>
      <c r="T33" s="14"/>
      <c r="U33" s="14">
        <v>6800000</v>
      </c>
      <c r="V33" s="27"/>
      <c r="W33" s="14">
        <v>7390000</v>
      </c>
      <c r="X33" s="15"/>
      <c r="Y33" s="14"/>
      <c r="Z33" s="15"/>
    </row>
    <row r="34" ht="16.5" spans="1:26">
      <c r="A34" s="45"/>
      <c r="B34" s="45"/>
      <c r="C34" s="64" t="s">
        <v>125</v>
      </c>
      <c r="D34" s="58" t="s">
        <v>126</v>
      </c>
      <c r="E34" s="21">
        <f>SUM(E30:E33)</f>
        <v>4650000</v>
      </c>
      <c r="F34" s="21"/>
      <c r="G34" s="21"/>
      <c r="H34" s="65"/>
      <c r="I34" s="65"/>
      <c r="J34" s="66"/>
      <c r="K34" s="21"/>
      <c r="L34" s="66"/>
      <c r="O34" s="45"/>
      <c r="P34" s="45"/>
      <c r="Q34" s="64" t="s">
        <v>125</v>
      </c>
      <c r="R34" s="58" t="s">
        <v>126</v>
      </c>
      <c r="S34" s="21">
        <v>9820000</v>
      </c>
      <c r="T34" s="21"/>
      <c r="U34" s="65">
        <v>9820000</v>
      </c>
      <c r="V34" s="65"/>
      <c r="W34" s="65">
        <v>14387800</v>
      </c>
      <c r="X34" s="66"/>
      <c r="Y34" s="21"/>
      <c r="Z34" s="66"/>
    </row>
    <row r="35" ht="16.5" spans="1:26">
      <c r="A35" s="45"/>
      <c r="B35" s="45"/>
      <c r="C35" s="64" t="s">
        <v>127</v>
      </c>
      <c r="D35" s="58" t="s">
        <v>128</v>
      </c>
      <c r="E35" s="67">
        <v>36000000</v>
      </c>
      <c r="F35" s="21"/>
      <c r="G35" s="67"/>
      <c r="H35" s="65"/>
      <c r="I35" s="65"/>
      <c r="J35" s="66"/>
      <c r="K35" s="21"/>
      <c r="L35" s="66"/>
      <c r="O35" s="45"/>
      <c r="P35" s="45"/>
      <c r="Q35" s="64" t="s">
        <v>127</v>
      </c>
      <c r="R35" s="58" t="s">
        <v>128</v>
      </c>
      <c r="S35" s="67">
        <v>95000000</v>
      </c>
      <c r="T35" s="21"/>
      <c r="U35" s="67">
        <v>95000000</v>
      </c>
      <c r="V35" s="65"/>
      <c r="W35" s="65">
        <v>100044662.63</v>
      </c>
      <c r="X35" s="66"/>
      <c r="Y35" s="21"/>
      <c r="Z35" s="66"/>
    </row>
    <row r="40" ht="22.5" spans="1:26">
      <c r="A40" s="1" t="s">
        <v>185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6.5" spans="1:26">
      <c r="A41" s="2" t="s">
        <v>1</v>
      </c>
      <c r="B41" s="2"/>
      <c r="C41" s="2"/>
      <c r="D41" s="2" t="s">
        <v>2</v>
      </c>
      <c r="E41" s="2" t="s">
        <v>3</v>
      </c>
      <c r="F41" s="2"/>
      <c r="G41" s="2"/>
      <c r="H41" s="2"/>
      <c r="I41" s="2"/>
      <c r="J41" s="2"/>
      <c r="K41" s="2"/>
      <c r="L41" s="2"/>
    </row>
    <row r="42" ht="16.5" spans="1:26">
      <c r="A42" s="2"/>
      <c r="B42" s="2"/>
      <c r="C42" s="2"/>
      <c r="D42" s="2"/>
      <c r="E42" s="2" t="s">
        <v>88</v>
      </c>
      <c r="F42" s="2"/>
      <c r="G42" s="36" t="s">
        <v>89</v>
      </c>
      <c r="H42" s="37"/>
      <c r="I42" s="2" t="s">
        <v>90</v>
      </c>
      <c r="J42" s="2"/>
      <c r="K42" s="2" t="s">
        <v>6</v>
      </c>
      <c r="L42" s="2"/>
    </row>
    <row r="43" ht="16.5" spans="1:26">
      <c r="A43" s="2"/>
      <c r="B43" s="2"/>
      <c r="C43" s="2"/>
      <c r="D43" s="2"/>
      <c r="E43" s="2" t="s">
        <v>91</v>
      </c>
      <c r="F43" s="2" t="s">
        <v>8</v>
      </c>
      <c r="G43" s="2" t="s">
        <v>7</v>
      </c>
      <c r="H43" s="2" t="s">
        <v>8</v>
      </c>
      <c r="I43" s="2" t="s">
        <v>9</v>
      </c>
      <c r="J43" s="2" t="s">
        <v>8</v>
      </c>
      <c r="K43" s="2" t="s">
        <v>10</v>
      </c>
      <c r="L43" s="2" t="s">
        <v>11</v>
      </c>
    </row>
    <row r="44" ht="16.5" spans="1:26">
      <c r="A44" s="36" t="s">
        <v>172</v>
      </c>
      <c r="B44" s="38"/>
      <c r="C44" s="37"/>
      <c r="D44" s="39" t="s">
        <v>93</v>
      </c>
      <c r="E44" s="40">
        <f>E5+S5</f>
        <v>326300</v>
      </c>
      <c r="F44" s="2"/>
      <c r="G44" s="40">
        <f>G5+U5</f>
        <v>333200</v>
      </c>
      <c r="H44" s="41"/>
      <c r="I44" s="41">
        <f>I5+W5</f>
        <v>454033.3</v>
      </c>
      <c r="J44" s="2"/>
      <c r="K44" s="2">
        <f t="shared" ref="K44:K47" si="5">I44-G44</f>
        <v>120833.3</v>
      </c>
      <c r="L44" s="6"/>
    </row>
    <row r="45" ht="16.5" spans="1:26">
      <c r="A45" s="36" t="s">
        <v>173</v>
      </c>
      <c r="B45" s="38"/>
      <c r="C45" s="37"/>
      <c r="D45" s="39" t="s">
        <v>95</v>
      </c>
      <c r="E45" s="40">
        <f>E6+S6</f>
        <v>158200</v>
      </c>
      <c r="F45" s="2"/>
      <c r="G45" s="40">
        <f>G6+U6</f>
        <v>158200</v>
      </c>
      <c r="H45" s="41"/>
      <c r="I45" s="41">
        <f>I6+W6</f>
        <v>188795.01</v>
      </c>
      <c r="J45" s="2"/>
      <c r="K45" s="2">
        <f t="shared" si="5"/>
        <v>30595.01</v>
      </c>
      <c r="L45" s="6"/>
    </row>
    <row r="46" ht="16.5" spans="1:26">
      <c r="A46" s="36" t="s">
        <v>140</v>
      </c>
      <c r="B46" s="38"/>
      <c r="C46" s="37"/>
      <c r="D46" s="39" t="s">
        <v>97</v>
      </c>
      <c r="E46" s="40">
        <f>E7+S7</f>
        <v>38800</v>
      </c>
      <c r="F46" s="2"/>
      <c r="G46" s="40">
        <f>G7+U7</f>
        <v>38800</v>
      </c>
      <c r="H46" s="41"/>
      <c r="I46" s="41">
        <f>I7+W7</f>
        <v>64285.2</v>
      </c>
      <c r="J46" s="2"/>
      <c r="K46" s="2">
        <f t="shared" si="5"/>
        <v>25485.2</v>
      </c>
      <c r="L46" s="6"/>
    </row>
    <row r="47" ht="22.5" spans="1:26">
      <c r="A47" s="42" t="s">
        <v>98</v>
      </c>
      <c r="B47" s="43"/>
      <c r="C47" s="43"/>
      <c r="D47" s="43"/>
      <c r="E47" s="44">
        <f t="shared" ref="E47:I47" si="6">SUM(E44:E46)</f>
        <v>523300</v>
      </c>
      <c r="F47" s="12"/>
      <c r="G47" s="44">
        <f t="shared" si="6"/>
        <v>530200</v>
      </c>
      <c r="H47" s="10"/>
      <c r="I47" s="44">
        <f>SUM(I44:I46)</f>
        <v>707113.51</v>
      </c>
      <c r="J47" s="12"/>
      <c r="K47" s="11">
        <f t="shared" si="5"/>
        <v>176913.51</v>
      </c>
      <c r="L47" s="12"/>
    </row>
    <row r="48" ht="16.5" spans="1:26">
      <c r="A48" s="45" t="s">
        <v>21</v>
      </c>
      <c r="B48" s="45"/>
      <c r="C48" s="3" t="s">
        <v>22</v>
      </c>
      <c r="D48" s="39" t="s">
        <v>99</v>
      </c>
      <c r="E48" s="14">
        <f>E9+S9</f>
        <v>710000</v>
      </c>
      <c r="F48" s="15"/>
      <c r="G48" s="14">
        <f>G9+U9</f>
        <v>720000</v>
      </c>
      <c r="H48" s="46"/>
      <c r="I48" s="46">
        <f>I9+W9</f>
        <v>668476.96</v>
      </c>
      <c r="J48" s="15"/>
      <c r="K48" s="14">
        <f t="shared" ref="K48:K58" si="7">I48-E48</f>
        <v>-41523.04</v>
      </c>
      <c r="L48" s="15">
        <f t="shared" ref="L48:L58" si="8">K48/E48</f>
        <v>-0.0584831549295775</v>
      </c>
    </row>
    <row r="49" ht="16.5" spans="1:12">
      <c r="A49" s="45"/>
      <c r="B49" s="45"/>
      <c r="C49" s="3" t="s">
        <v>24</v>
      </c>
      <c r="D49" s="39" t="s">
        <v>100</v>
      </c>
      <c r="E49" s="14">
        <f t="shared" ref="E49:E57" si="9">E10+S10</f>
        <v>185000</v>
      </c>
      <c r="F49" s="15"/>
      <c r="G49" s="14">
        <f t="shared" ref="G49:G57" si="10">G10+U10</f>
        <v>170000</v>
      </c>
      <c r="H49" s="46"/>
      <c r="I49" s="46">
        <f t="shared" ref="I49:I57" si="11">I10+W10</f>
        <v>78220.24</v>
      </c>
      <c r="J49" s="15"/>
      <c r="K49" s="14">
        <f t="shared" si="7"/>
        <v>-106779.76</v>
      </c>
      <c r="L49" s="15">
        <f t="shared" si="8"/>
        <v>-0.577187891891892</v>
      </c>
    </row>
    <row r="50" ht="16.5" spans="1:12">
      <c r="A50" s="45"/>
      <c r="B50" s="45"/>
      <c r="C50" s="3" t="s">
        <v>26</v>
      </c>
      <c r="D50" s="39" t="s">
        <v>101</v>
      </c>
      <c r="E50" s="14">
        <f t="shared" si="9"/>
        <v>40000</v>
      </c>
      <c r="F50" s="15"/>
      <c r="G50" s="14">
        <f t="shared" si="10"/>
        <v>80000</v>
      </c>
      <c r="H50" s="46"/>
      <c r="I50" s="46">
        <f t="shared" si="11"/>
        <v>287124.21</v>
      </c>
      <c r="J50" s="15"/>
      <c r="K50" s="14">
        <f t="shared" si="7"/>
        <v>247124.21</v>
      </c>
      <c r="L50" s="15">
        <f t="shared" si="8"/>
        <v>6.17810525</v>
      </c>
    </row>
    <row r="51" ht="16.5" spans="1:12">
      <c r="A51" s="45"/>
      <c r="B51" s="45"/>
      <c r="C51" s="3" t="s">
        <v>28</v>
      </c>
      <c r="D51" s="39" t="s">
        <v>102</v>
      </c>
      <c r="E51" s="14">
        <f t="shared" si="9"/>
        <v>135000</v>
      </c>
      <c r="F51" s="15"/>
      <c r="G51" s="14">
        <f t="shared" si="10"/>
        <v>155000</v>
      </c>
      <c r="H51" s="46"/>
      <c r="I51" s="46">
        <f t="shared" si="11"/>
        <v>78164.8</v>
      </c>
      <c r="J51" s="15"/>
      <c r="K51" s="14">
        <f t="shared" si="7"/>
        <v>-56835.2</v>
      </c>
      <c r="L51" s="15">
        <f t="shared" si="8"/>
        <v>-0.421001481481481</v>
      </c>
    </row>
    <row r="52" ht="16.5" spans="1:12">
      <c r="A52" s="45"/>
      <c r="B52" s="45"/>
      <c r="C52" s="3" t="s">
        <v>30</v>
      </c>
      <c r="D52" s="39" t="s">
        <v>103</v>
      </c>
      <c r="E52" s="14">
        <f t="shared" si="9"/>
        <v>309200</v>
      </c>
      <c r="F52" s="15"/>
      <c r="G52" s="14">
        <f t="shared" si="10"/>
        <v>319200</v>
      </c>
      <c r="H52" s="14"/>
      <c r="I52" s="46">
        <f t="shared" si="11"/>
        <v>636130.21</v>
      </c>
      <c r="J52" s="15"/>
      <c r="K52" s="14">
        <f t="shared" si="7"/>
        <v>326930.21</v>
      </c>
      <c r="L52" s="15">
        <f t="shared" si="8"/>
        <v>1.05734220569211</v>
      </c>
    </row>
    <row r="53" ht="16.5" spans="1:12">
      <c r="A53" s="45"/>
      <c r="B53" s="45"/>
      <c r="C53" s="3" t="s">
        <v>32</v>
      </c>
      <c r="D53" s="39" t="s">
        <v>104</v>
      </c>
      <c r="E53" s="14">
        <f t="shared" si="9"/>
        <v>0</v>
      </c>
      <c r="F53" s="15"/>
      <c r="G53" s="14">
        <f t="shared" si="10"/>
        <v>0</v>
      </c>
      <c r="H53" s="14"/>
      <c r="I53" s="46">
        <f t="shared" si="11"/>
        <v>0</v>
      </c>
      <c r="J53" s="15"/>
      <c r="K53" s="14">
        <f t="shared" si="7"/>
        <v>0</v>
      </c>
      <c r="L53" s="15" t="e">
        <f t="shared" si="8"/>
        <v>#DIV/0!</v>
      </c>
    </row>
    <row r="54" ht="16.5" spans="1:12">
      <c r="A54" s="45"/>
      <c r="B54" s="45"/>
      <c r="C54" s="3" t="s">
        <v>34</v>
      </c>
      <c r="D54" s="39" t="s">
        <v>105</v>
      </c>
      <c r="E54" s="14">
        <f t="shared" si="9"/>
        <v>0</v>
      </c>
      <c r="F54" s="15"/>
      <c r="G54" s="14">
        <f t="shared" si="10"/>
        <v>0</v>
      </c>
      <c r="H54" s="14"/>
      <c r="I54" s="46">
        <f t="shared" si="11"/>
        <v>0</v>
      </c>
      <c r="J54" s="15"/>
      <c r="K54" s="14">
        <f t="shared" si="7"/>
        <v>0</v>
      </c>
      <c r="L54" s="15" t="e">
        <f t="shared" si="8"/>
        <v>#DIV/0!</v>
      </c>
    </row>
    <row r="55" ht="16.5" spans="1:12">
      <c r="A55" s="45"/>
      <c r="B55" s="45"/>
      <c r="C55" s="47" t="s">
        <v>40</v>
      </c>
      <c r="D55" s="39" t="s">
        <v>106</v>
      </c>
      <c r="E55" s="14">
        <f t="shared" si="9"/>
        <v>1500</v>
      </c>
      <c r="F55" s="14"/>
      <c r="G55" s="14">
        <f t="shared" si="10"/>
        <v>1500</v>
      </c>
      <c r="H55" s="14"/>
      <c r="I55" s="46">
        <f t="shared" si="11"/>
        <v>1500</v>
      </c>
      <c r="J55" s="15"/>
      <c r="K55" s="14">
        <f t="shared" si="7"/>
        <v>0</v>
      </c>
      <c r="L55" s="15">
        <f t="shared" si="8"/>
        <v>0</v>
      </c>
    </row>
    <row r="56" ht="16.5" spans="1:12">
      <c r="A56" s="45"/>
      <c r="B56" s="45"/>
      <c r="C56" s="48" t="s">
        <v>42</v>
      </c>
      <c r="D56" s="39" t="s">
        <v>107</v>
      </c>
      <c r="E56" s="14">
        <f t="shared" si="9"/>
        <v>0</v>
      </c>
      <c r="F56" s="14"/>
      <c r="G56" s="14">
        <f t="shared" si="10"/>
        <v>0</v>
      </c>
      <c r="H56" s="14"/>
      <c r="I56" s="46">
        <f t="shared" si="11"/>
        <v>0</v>
      </c>
      <c r="J56" s="15"/>
      <c r="K56" s="14">
        <f t="shared" si="7"/>
        <v>0</v>
      </c>
      <c r="L56" s="15" t="e">
        <f t="shared" si="8"/>
        <v>#DIV/0!</v>
      </c>
    </row>
    <row r="57" ht="16.5" spans="1:12">
      <c r="A57" s="45"/>
      <c r="B57" s="45"/>
      <c r="C57" s="48" t="s">
        <v>44</v>
      </c>
      <c r="D57" s="39" t="s">
        <v>108</v>
      </c>
      <c r="E57" s="14">
        <f t="shared" si="9"/>
        <v>1447.5</v>
      </c>
      <c r="F57" s="14"/>
      <c r="G57" s="14">
        <f t="shared" si="10"/>
        <v>1447.5</v>
      </c>
      <c r="H57" s="14"/>
      <c r="I57" s="46">
        <f t="shared" si="11"/>
        <v>1447.5</v>
      </c>
      <c r="J57" s="15"/>
      <c r="K57" s="14">
        <f t="shared" si="7"/>
        <v>0</v>
      </c>
      <c r="L57" s="15">
        <f t="shared" si="8"/>
        <v>0</v>
      </c>
    </row>
    <row r="58" ht="22.5" spans="1:12">
      <c r="A58" s="49" t="s">
        <v>46</v>
      </c>
      <c r="B58" s="49"/>
      <c r="C58" s="49"/>
      <c r="D58" s="50" t="s">
        <v>18</v>
      </c>
      <c r="E58" s="44">
        <f t="shared" ref="E58:I58" si="12">SUM(E48:E57)</f>
        <v>1382147.5</v>
      </c>
      <c r="F58" s="44"/>
      <c r="G58" s="51">
        <f t="shared" si="12"/>
        <v>1447147.5</v>
      </c>
      <c r="H58" s="51"/>
      <c r="I58" s="51">
        <f t="shared" si="12"/>
        <v>1751063.92</v>
      </c>
      <c r="J58" s="52"/>
      <c r="K58" s="44">
        <f t="shared" si="7"/>
        <v>368916.42</v>
      </c>
      <c r="L58" s="52">
        <f t="shared" si="8"/>
        <v>0.266915376253258</v>
      </c>
    </row>
    <row r="59" ht="16.5" spans="1:12">
      <c r="A59" s="3" t="s">
        <v>61</v>
      </c>
      <c r="B59" s="3"/>
      <c r="C59" s="3" t="s">
        <v>62</v>
      </c>
      <c r="D59" s="39" t="s">
        <v>109</v>
      </c>
      <c r="E59" s="3">
        <v>14</v>
      </c>
      <c r="F59" s="3"/>
      <c r="G59" s="3"/>
      <c r="H59" s="3"/>
      <c r="I59" s="3">
        <v>14</v>
      </c>
      <c r="J59" s="3"/>
      <c r="K59" s="14"/>
      <c r="L59" s="14"/>
    </row>
    <row r="60" ht="16.5" spans="1:12">
      <c r="A60" s="3"/>
      <c r="B60" s="3"/>
      <c r="C60" s="3" t="s">
        <v>64</v>
      </c>
      <c r="D60" s="39" t="s">
        <v>110</v>
      </c>
      <c r="E60" s="3">
        <v>0</v>
      </c>
      <c r="F60" s="3"/>
      <c r="G60" s="3"/>
      <c r="H60" s="3"/>
      <c r="I60" s="3">
        <v>0</v>
      </c>
      <c r="J60" s="3"/>
      <c r="K60" s="14"/>
      <c r="L60" s="14"/>
    </row>
    <row r="61" ht="16.5" spans="1:12">
      <c r="A61" s="3"/>
      <c r="B61" s="3"/>
      <c r="C61" s="3" t="s">
        <v>66</v>
      </c>
      <c r="D61" s="39" t="s">
        <v>111</v>
      </c>
      <c r="E61" s="30">
        <v>14</v>
      </c>
      <c r="F61" s="30"/>
      <c r="G61" s="30"/>
      <c r="H61" s="30"/>
      <c r="I61" s="30">
        <v>14</v>
      </c>
      <c r="J61" s="30"/>
      <c r="K61" s="14"/>
      <c r="L61" s="14"/>
    </row>
    <row r="62" ht="16.5" spans="1:12">
      <c r="A62" s="3" t="s">
        <v>68</v>
      </c>
      <c r="B62" s="3"/>
      <c r="C62" s="3" t="s">
        <v>69</v>
      </c>
      <c r="D62" s="39" t="s">
        <v>112</v>
      </c>
      <c r="E62" s="30">
        <v>2688</v>
      </c>
      <c r="F62" s="30"/>
      <c r="G62" s="30"/>
      <c r="H62" s="30"/>
      <c r="I62" s="30">
        <v>2688</v>
      </c>
      <c r="J62" s="30"/>
      <c r="K62" s="14"/>
      <c r="L62" s="14"/>
    </row>
    <row r="63" ht="16.5" spans="1:12">
      <c r="A63" s="3"/>
      <c r="B63" s="3"/>
      <c r="C63" s="3" t="s">
        <v>71</v>
      </c>
      <c r="D63" s="39" t="s">
        <v>23</v>
      </c>
      <c r="E63" s="30">
        <v>50</v>
      </c>
      <c r="F63" s="30"/>
      <c r="G63" s="30"/>
      <c r="H63" s="30"/>
      <c r="I63" s="30"/>
      <c r="J63" s="30"/>
      <c r="K63" s="14"/>
      <c r="L63" s="14"/>
    </row>
    <row r="64" ht="16.5" spans="1:12">
      <c r="A64" s="3"/>
      <c r="B64" s="3"/>
      <c r="C64" s="3" t="s">
        <v>73</v>
      </c>
      <c r="D64" s="39" t="s">
        <v>113</v>
      </c>
      <c r="E64" s="30"/>
      <c r="F64" s="30"/>
      <c r="G64" s="30"/>
      <c r="H64" s="30"/>
      <c r="I64" s="30"/>
      <c r="J64" s="30"/>
      <c r="K64" s="14"/>
      <c r="L64" s="14"/>
    </row>
    <row r="65" ht="16.5" spans="1:12">
      <c r="A65" s="10" t="s">
        <v>77</v>
      </c>
      <c r="B65" s="10"/>
      <c r="C65" s="10"/>
      <c r="D65" s="29" t="s">
        <v>78</v>
      </c>
      <c r="E65" s="32"/>
      <c r="F65" s="32"/>
      <c r="G65" s="11"/>
      <c r="H65" s="11"/>
      <c r="I65" s="11"/>
      <c r="J65" s="11"/>
      <c r="K65" s="32"/>
      <c r="L65" s="32"/>
    </row>
    <row r="66" ht="16.5" spans="1:12">
      <c r="A66" s="53"/>
      <c r="B66" s="53"/>
      <c r="C66" s="8"/>
      <c r="D66" s="54" t="s">
        <v>2</v>
      </c>
      <c r="E66" s="2" t="s">
        <v>88</v>
      </c>
      <c r="F66" s="2"/>
      <c r="G66" s="36" t="s">
        <v>89</v>
      </c>
      <c r="H66" s="37"/>
      <c r="I66" s="2" t="s">
        <v>90</v>
      </c>
      <c r="J66" s="2"/>
      <c r="K66" s="2" t="s">
        <v>6</v>
      </c>
      <c r="L66" s="2"/>
    </row>
    <row r="67" ht="22.5" spans="1:12">
      <c r="A67" s="55"/>
      <c r="B67" s="55"/>
      <c r="C67" s="55"/>
      <c r="D67" s="56"/>
      <c r="E67" s="2" t="s">
        <v>91</v>
      </c>
      <c r="F67" s="2" t="s">
        <v>8</v>
      </c>
      <c r="G67" s="2" t="s">
        <v>7</v>
      </c>
      <c r="H67" s="2" t="s">
        <v>8</v>
      </c>
      <c r="I67" s="2" t="s">
        <v>9</v>
      </c>
      <c r="J67" s="2" t="s">
        <v>8</v>
      </c>
      <c r="K67" s="2" t="s">
        <v>10</v>
      </c>
      <c r="L67" s="2" t="s">
        <v>11</v>
      </c>
    </row>
    <row r="68" ht="16.5" spans="1:12">
      <c r="A68" s="45" t="s">
        <v>114</v>
      </c>
      <c r="B68" s="45"/>
      <c r="C68" s="57" t="s">
        <v>115</v>
      </c>
      <c r="D68" s="58" t="s">
        <v>116</v>
      </c>
      <c r="E68" s="59">
        <f>E29+S29</f>
        <v>5350000</v>
      </c>
      <c r="F68" s="60"/>
      <c r="G68" s="59">
        <f>G29+U29</f>
        <v>3750000</v>
      </c>
      <c r="H68" s="61"/>
      <c r="I68" s="61">
        <f>I29+W29</f>
        <v>3545933</v>
      </c>
      <c r="J68" s="60"/>
      <c r="K68" s="60">
        <f>I68-E68</f>
        <v>-1804067</v>
      </c>
      <c r="L68" s="62">
        <f>K68/E68</f>
        <v>-0.337208785046729</v>
      </c>
    </row>
    <row r="69" ht="16.5" spans="1:12">
      <c r="A69" s="45"/>
      <c r="B69" s="45"/>
      <c r="C69" s="63" t="s">
        <v>117</v>
      </c>
      <c r="D69" s="14" t="s">
        <v>118</v>
      </c>
      <c r="E69" s="14">
        <f>E30+S30</f>
        <v>3850000</v>
      </c>
      <c r="F69" s="14"/>
      <c r="G69" s="30">
        <f>G30+U30</f>
        <v>2650000</v>
      </c>
      <c r="H69" s="27"/>
      <c r="I69" s="27">
        <f>I30+W30</f>
        <v>4394600</v>
      </c>
      <c r="J69" s="15"/>
      <c r="K69" s="14"/>
      <c r="L69" s="15"/>
    </row>
    <row r="70" ht="16.5" spans="1:12">
      <c r="A70" s="45"/>
      <c r="B70" s="45"/>
      <c r="C70" s="63" t="s">
        <v>119</v>
      </c>
      <c r="D70" s="14" t="s">
        <v>120</v>
      </c>
      <c r="E70" s="14">
        <f>E31+S31</f>
        <v>200000</v>
      </c>
      <c r="F70" s="14"/>
      <c r="G70" s="30">
        <f>G31+U31</f>
        <v>140000</v>
      </c>
      <c r="H70" s="27"/>
      <c r="I70" s="27">
        <f>I31+W31</f>
        <v>1534100</v>
      </c>
      <c r="J70" s="15"/>
      <c r="K70" s="14"/>
      <c r="L70" s="15"/>
    </row>
    <row r="71" ht="16.5" spans="1:12">
      <c r="A71" s="45"/>
      <c r="B71" s="45"/>
      <c r="C71" s="63" t="s">
        <v>121</v>
      </c>
      <c r="D71" s="14" t="s">
        <v>122</v>
      </c>
      <c r="E71" s="14">
        <f>E32+S32</f>
        <v>320000</v>
      </c>
      <c r="F71" s="14"/>
      <c r="G71" s="30">
        <f>G32+U32</f>
        <v>230000</v>
      </c>
      <c r="H71" s="27"/>
      <c r="I71" s="27">
        <f>I32+W32</f>
        <v>1069100</v>
      </c>
      <c r="J71" s="15"/>
      <c r="K71" s="14"/>
      <c r="L71" s="15"/>
    </row>
    <row r="72" ht="16.5" spans="1:12">
      <c r="A72" s="45"/>
      <c r="B72" s="45"/>
      <c r="C72" s="63" t="s">
        <v>123</v>
      </c>
      <c r="D72" s="14" t="s">
        <v>124</v>
      </c>
      <c r="E72" s="14">
        <f>E33+S33</f>
        <v>10100000</v>
      </c>
      <c r="F72" s="14"/>
      <c r="G72" s="30">
        <f>G33+U33</f>
        <v>6800000</v>
      </c>
      <c r="H72" s="27"/>
      <c r="I72" s="27">
        <f>I33+W33</f>
        <v>7390000</v>
      </c>
      <c r="J72" s="15"/>
      <c r="K72" s="14"/>
      <c r="L72" s="15"/>
    </row>
    <row r="73" ht="16.5" spans="1:12">
      <c r="A73" s="45"/>
      <c r="B73" s="45"/>
      <c r="C73" s="64" t="s">
        <v>125</v>
      </c>
      <c r="D73" s="58" t="s">
        <v>126</v>
      </c>
      <c r="E73" s="21">
        <f>SUM(E69:E72)</f>
        <v>14470000</v>
      </c>
      <c r="F73" s="21"/>
      <c r="G73" s="65">
        <f>SUM(G69:G72)</f>
        <v>9820000</v>
      </c>
      <c r="H73" s="65"/>
      <c r="I73" s="65">
        <f>SUM(I69:I72)</f>
        <v>14387800</v>
      </c>
      <c r="J73" s="66"/>
      <c r="K73" s="21"/>
      <c r="L73" s="66"/>
    </row>
    <row r="74" ht="16.5" spans="1:12">
      <c r="A74" s="45"/>
      <c r="B74" s="45"/>
      <c r="C74" s="64" t="s">
        <v>127</v>
      </c>
      <c r="D74" s="58" t="s">
        <v>128</v>
      </c>
      <c r="E74" s="67">
        <f>E35+S35</f>
        <v>131000000</v>
      </c>
      <c r="F74" s="21"/>
      <c r="G74" s="67">
        <f>G35+U35</f>
        <v>95000000</v>
      </c>
      <c r="H74" s="65"/>
      <c r="I74" s="65">
        <f>I35+W35</f>
        <v>100044662.63</v>
      </c>
      <c r="J74" s="66"/>
      <c r="K74" s="21"/>
      <c r="L74" s="66"/>
    </row>
  </sheetData>
  <mergeCells count="132">
    <mergeCell ref="A1:L1"/>
    <mergeCell ref="O1:Z1"/>
    <mergeCell ref="E2:L2"/>
    <mergeCell ref="S2:Z2"/>
    <mergeCell ref="E3:F3"/>
    <mergeCell ref="G3:H3"/>
    <mergeCell ref="I3:J3"/>
    <mergeCell ref="K3:L3"/>
    <mergeCell ref="S3:T3"/>
    <mergeCell ref="U3:V3"/>
    <mergeCell ref="W3:X3"/>
    <mergeCell ref="Y3:Z3"/>
    <mergeCell ref="A5:C5"/>
    <mergeCell ref="O5:Q5"/>
    <mergeCell ref="A6:C6"/>
    <mergeCell ref="O6:Q6"/>
    <mergeCell ref="A7:C7"/>
    <mergeCell ref="O7:Q7"/>
    <mergeCell ref="A8:D8"/>
    <mergeCell ref="O8:R8"/>
    <mergeCell ref="A19:C19"/>
    <mergeCell ref="O19:Q19"/>
    <mergeCell ref="E20:F20"/>
    <mergeCell ref="I20:J20"/>
    <mergeCell ref="K20:L20"/>
    <mergeCell ref="S20:T20"/>
    <mergeCell ref="W20:X20"/>
    <mergeCell ref="Y20:Z20"/>
    <mergeCell ref="E21:F21"/>
    <mergeCell ref="I21:J21"/>
    <mergeCell ref="K21:L21"/>
    <mergeCell ref="S21:T21"/>
    <mergeCell ref="W21:X21"/>
    <mergeCell ref="Y21:Z21"/>
    <mergeCell ref="E22:F22"/>
    <mergeCell ref="I22:J22"/>
    <mergeCell ref="K22:L22"/>
    <mergeCell ref="S22:T22"/>
    <mergeCell ref="W22:X22"/>
    <mergeCell ref="Y22:Z22"/>
    <mergeCell ref="E23:F23"/>
    <mergeCell ref="I23:J23"/>
    <mergeCell ref="K23:L23"/>
    <mergeCell ref="S23:T23"/>
    <mergeCell ref="W23:X23"/>
    <mergeCell ref="Y23:Z23"/>
    <mergeCell ref="E24:F24"/>
    <mergeCell ref="I24:J24"/>
    <mergeCell ref="K24:L24"/>
    <mergeCell ref="S24:T24"/>
    <mergeCell ref="W24:X24"/>
    <mergeCell ref="Y24:Z24"/>
    <mergeCell ref="E25:F25"/>
    <mergeCell ref="I25:J25"/>
    <mergeCell ref="K25:L25"/>
    <mergeCell ref="S25:T25"/>
    <mergeCell ref="W25:X25"/>
    <mergeCell ref="Y25:Z25"/>
    <mergeCell ref="A26:C26"/>
    <mergeCell ref="E26:F26"/>
    <mergeCell ref="I26:J26"/>
    <mergeCell ref="K26:L26"/>
    <mergeCell ref="O26:Q26"/>
    <mergeCell ref="S26:T26"/>
    <mergeCell ref="W26:X26"/>
    <mergeCell ref="Y26:Z26"/>
    <mergeCell ref="E27:F27"/>
    <mergeCell ref="G27:H27"/>
    <mergeCell ref="I27:J27"/>
    <mergeCell ref="K27:L27"/>
    <mergeCell ref="S27:T27"/>
    <mergeCell ref="U27:V27"/>
    <mergeCell ref="W27:X27"/>
    <mergeCell ref="Y27:Z27"/>
    <mergeCell ref="A40:L40"/>
    <mergeCell ref="E41:L41"/>
    <mergeCell ref="E42:F42"/>
    <mergeCell ref="G42:H42"/>
    <mergeCell ref="I42:J42"/>
    <mergeCell ref="K42:L42"/>
    <mergeCell ref="A44:C44"/>
    <mergeCell ref="A45:C45"/>
    <mergeCell ref="A46:C46"/>
    <mergeCell ref="A47:D47"/>
    <mergeCell ref="A58:C58"/>
    <mergeCell ref="E59:F59"/>
    <mergeCell ref="I59:J59"/>
    <mergeCell ref="K59:L59"/>
    <mergeCell ref="E60:F60"/>
    <mergeCell ref="I60:J60"/>
    <mergeCell ref="K60:L60"/>
    <mergeCell ref="E61:F61"/>
    <mergeCell ref="I61:J61"/>
    <mergeCell ref="K61:L61"/>
    <mergeCell ref="E62:F62"/>
    <mergeCell ref="I62:J62"/>
    <mergeCell ref="K62:L62"/>
    <mergeCell ref="E63:F63"/>
    <mergeCell ref="I63:J63"/>
    <mergeCell ref="K63:L63"/>
    <mergeCell ref="E64:F64"/>
    <mergeCell ref="I64:J64"/>
    <mergeCell ref="K64:L64"/>
    <mergeCell ref="A65:C65"/>
    <mergeCell ref="E65:F65"/>
    <mergeCell ref="I65:J65"/>
    <mergeCell ref="K65:L65"/>
    <mergeCell ref="E66:F66"/>
    <mergeCell ref="G66:H66"/>
    <mergeCell ref="I66:J66"/>
    <mergeCell ref="K66:L66"/>
    <mergeCell ref="D2:D4"/>
    <mergeCell ref="D27:D28"/>
    <mergeCell ref="D41:D43"/>
    <mergeCell ref="D66:D67"/>
    <mergeCell ref="R2:R4"/>
    <mergeCell ref="R27:R28"/>
    <mergeCell ref="A2:C4"/>
    <mergeCell ref="A9:B18"/>
    <mergeCell ref="O9:P18"/>
    <mergeCell ref="A20:B22"/>
    <mergeCell ref="O20:P22"/>
    <mergeCell ref="A23:B25"/>
    <mergeCell ref="O23:P25"/>
    <mergeCell ref="A29:B35"/>
    <mergeCell ref="O29:P35"/>
    <mergeCell ref="O2:Q4"/>
    <mergeCell ref="A41:C43"/>
    <mergeCell ref="A48:B57"/>
    <mergeCell ref="A59:B61"/>
    <mergeCell ref="A62:B64"/>
    <mergeCell ref="A68:B74"/>
  </mergeCells>
  <pageMargins left="0.75" right="0.75" top="1" bottom="1" header="0.5" footer="0.5"/>
  <pageSetup paperSize="9" orientation="portrait"/>
  <headerFooter/>
  <ignoredErrors>
    <ignoredError sqref="E34" formulaRange="1"/>
  </ignoredError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5"/>
  <sheetViews>
    <sheetView workbookViewId="0">
      <selection activeCell="L43" sqref="L43"/>
    </sheetView>
  </sheetViews>
  <sheetFormatPr defaultColWidth="9" defaultRowHeight="13.5"/>
  <cols>
    <col min="5" max="5" width="24.75" customWidth="1"/>
    <col min="7" max="7" width="17" customWidth="1"/>
    <col min="9" max="9" width="18.25" customWidth="1"/>
    <col min="19" max="19" width="16.125" customWidth="1"/>
    <col min="20" max="22" width="13.125" customWidth="1"/>
    <col min="23" max="23" width="15" customWidth="1"/>
    <col min="24" max="26" width="13.125" customWidth="1"/>
  </cols>
  <sheetData>
    <row r="1" ht="22.5" spans="1:26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O1" s="1" t="s">
        <v>185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spans="1:26">
      <c r="A2" s="2" t="s">
        <v>1</v>
      </c>
      <c r="B2" s="2"/>
      <c r="C2" s="2"/>
      <c r="D2" s="2" t="s">
        <v>2</v>
      </c>
      <c r="E2" s="2" t="s">
        <v>3</v>
      </c>
      <c r="F2" s="2"/>
      <c r="G2" s="2"/>
      <c r="H2" s="2"/>
      <c r="I2" s="2"/>
      <c r="J2" s="2"/>
      <c r="K2" s="2"/>
      <c r="L2" s="2"/>
      <c r="O2" s="2" t="s">
        <v>1</v>
      </c>
      <c r="P2" s="2"/>
      <c r="Q2" s="2"/>
      <c r="R2" s="2" t="s">
        <v>2</v>
      </c>
      <c r="S2" s="2" t="s">
        <v>3</v>
      </c>
      <c r="T2" s="2"/>
      <c r="U2" s="2"/>
      <c r="V2" s="2"/>
      <c r="W2" s="2"/>
      <c r="X2" s="2"/>
      <c r="Y2" s="2"/>
      <c r="Z2" s="2"/>
    </row>
    <row r="3" ht="16.5" spans="1:26">
      <c r="A3" s="2"/>
      <c r="B3" s="2"/>
      <c r="C3" s="2"/>
      <c r="D3" s="2"/>
      <c r="E3" s="2" t="s">
        <v>88</v>
      </c>
      <c r="F3" s="2"/>
      <c r="G3" s="36" t="s">
        <v>89</v>
      </c>
      <c r="H3" s="37"/>
      <c r="I3" s="2" t="s">
        <v>90</v>
      </c>
      <c r="J3" s="2"/>
      <c r="K3" s="2" t="s">
        <v>6</v>
      </c>
      <c r="L3" s="2"/>
      <c r="O3" s="2"/>
      <c r="P3" s="2"/>
      <c r="Q3" s="2"/>
      <c r="R3" s="2"/>
      <c r="S3" s="2" t="s">
        <v>88</v>
      </c>
      <c r="T3" s="2"/>
      <c r="U3" s="36" t="s">
        <v>89</v>
      </c>
      <c r="V3" s="37"/>
      <c r="W3" s="2" t="s">
        <v>90</v>
      </c>
      <c r="X3" s="2"/>
      <c r="Y3" s="2" t="s">
        <v>6</v>
      </c>
      <c r="Z3" s="2"/>
    </row>
    <row r="4" ht="16.5" spans="1:26">
      <c r="A4" s="2"/>
      <c r="B4" s="2"/>
      <c r="C4" s="2"/>
      <c r="D4" s="2"/>
      <c r="E4" s="2" t="s">
        <v>91</v>
      </c>
      <c r="F4" s="2" t="s">
        <v>8</v>
      </c>
      <c r="G4" s="2" t="s">
        <v>7</v>
      </c>
      <c r="H4" s="2" t="s">
        <v>8</v>
      </c>
      <c r="I4" s="2" t="s">
        <v>9</v>
      </c>
      <c r="J4" s="2" t="s">
        <v>8</v>
      </c>
      <c r="K4" s="2" t="s">
        <v>10</v>
      </c>
      <c r="L4" s="2" t="s">
        <v>11</v>
      </c>
      <c r="O4" s="2"/>
      <c r="P4" s="2"/>
      <c r="Q4" s="2"/>
      <c r="R4" s="2"/>
      <c r="S4" s="2" t="s">
        <v>91</v>
      </c>
      <c r="T4" s="2" t="s">
        <v>8</v>
      </c>
      <c r="U4" s="2" t="s">
        <v>7</v>
      </c>
      <c r="V4" s="2" t="s">
        <v>8</v>
      </c>
      <c r="W4" s="2" t="s">
        <v>9</v>
      </c>
      <c r="X4" s="2" t="s">
        <v>8</v>
      </c>
      <c r="Y4" s="2" t="s">
        <v>10</v>
      </c>
      <c r="Z4" s="2" t="s">
        <v>11</v>
      </c>
    </row>
    <row r="5" ht="16.5" spans="1:26">
      <c r="A5" s="36" t="s">
        <v>172</v>
      </c>
      <c r="B5" s="38"/>
      <c r="C5" s="37"/>
      <c r="D5" s="39" t="s">
        <v>93</v>
      </c>
      <c r="E5" s="40">
        <v>109100</v>
      </c>
      <c r="F5" s="2"/>
      <c r="G5" s="40">
        <v>109100</v>
      </c>
      <c r="H5" s="41"/>
      <c r="I5" s="41"/>
      <c r="J5" s="2"/>
      <c r="K5" s="2">
        <f t="shared" ref="K5:K8" si="0">I5-G5</f>
        <v>-109100</v>
      </c>
      <c r="L5" s="6"/>
      <c r="O5" s="36" t="s">
        <v>172</v>
      </c>
      <c r="P5" s="38"/>
      <c r="Q5" s="37"/>
      <c r="R5" s="39" t="s">
        <v>93</v>
      </c>
      <c r="S5" s="40">
        <v>326300</v>
      </c>
      <c r="T5" s="2"/>
      <c r="U5" s="40">
        <v>333200</v>
      </c>
      <c r="V5" s="41"/>
      <c r="W5" s="41">
        <v>454033.3</v>
      </c>
      <c r="X5" s="2"/>
      <c r="Y5" s="2">
        <v>120833.3</v>
      </c>
      <c r="Z5" s="6"/>
    </row>
    <row r="6" ht="16.5" spans="1:26">
      <c r="A6" s="36" t="s">
        <v>173</v>
      </c>
      <c r="B6" s="38"/>
      <c r="C6" s="37"/>
      <c r="D6" s="39" t="s">
        <v>95</v>
      </c>
      <c r="E6" s="40">
        <v>103000</v>
      </c>
      <c r="F6" s="2"/>
      <c r="G6" s="40">
        <v>103000</v>
      </c>
      <c r="H6" s="41"/>
      <c r="I6" s="41"/>
      <c r="J6" s="2"/>
      <c r="K6" s="2">
        <f t="shared" si="0"/>
        <v>-103000</v>
      </c>
      <c r="L6" s="6"/>
      <c r="O6" s="36" t="s">
        <v>173</v>
      </c>
      <c r="P6" s="38"/>
      <c r="Q6" s="37"/>
      <c r="R6" s="39" t="s">
        <v>95</v>
      </c>
      <c r="S6" s="40">
        <v>158200</v>
      </c>
      <c r="T6" s="2"/>
      <c r="U6" s="40">
        <v>158200</v>
      </c>
      <c r="V6" s="41"/>
      <c r="W6" s="41">
        <v>188795.01</v>
      </c>
      <c r="X6" s="2"/>
      <c r="Y6" s="2">
        <v>30595.01</v>
      </c>
      <c r="Z6" s="6"/>
    </row>
    <row r="7" ht="16.5" spans="1:26">
      <c r="A7" s="36" t="s">
        <v>140</v>
      </c>
      <c r="B7" s="38"/>
      <c r="C7" s="37"/>
      <c r="D7" s="39" t="s">
        <v>97</v>
      </c>
      <c r="E7" s="40">
        <v>33700</v>
      </c>
      <c r="F7" s="2"/>
      <c r="G7" s="40">
        <v>33700</v>
      </c>
      <c r="H7" s="41"/>
      <c r="I7" s="41"/>
      <c r="J7" s="2"/>
      <c r="K7" s="2">
        <f t="shared" si="0"/>
        <v>-33700</v>
      </c>
      <c r="L7" s="6"/>
      <c r="O7" s="36" t="s">
        <v>140</v>
      </c>
      <c r="P7" s="38"/>
      <c r="Q7" s="37"/>
      <c r="R7" s="39" t="s">
        <v>97</v>
      </c>
      <c r="S7" s="40">
        <v>38800</v>
      </c>
      <c r="T7" s="2"/>
      <c r="U7" s="40">
        <v>38800</v>
      </c>
      <c r="V7" s="41"/>
      <c r="W7" s="41">
        <v>64285.2</v>
      </c>
      <c r="X7" s="2"/>
      <c r="Y7" s="2">
        <v>25485.2</v>
      </c>
      <c r="Z7" s="6"/>
    </row>
    <row r="8" ht="22.5" spans="1:26">
      <c r="A8" s="42" t="s">
        <v>98</v>
      </c>
      <c r="B8" s="43"/>
      <c r="C8" s="43"/>
      <c r="D8" s="43"/>
      <c r="E8" s="44">
        <f t="shared" ref="E8:I8" si="1">SUM(E5:E7)</f>
        <v>245800</v>
      </c>
      <c r="F8" s="12"/>
      <c r="G8" s="44">
        <f t="shared" si="1"/>
        <v>245800</v>
      </c>
      <c r="H8" s="10"/>
      <c r="I8" s="44">
        <f t="shared" si="1"/>
        <v>0</v>
      </c>
      <c r="J8" s="12"/>
      <c r="K8" s="11">
        <f t="shared" si="0"/>
        <v>-245800</v>
      </c>
      <c r="L8" s="12"/>
      <c r="O8" s="42" t="s">
        <v>183</v>
      </c>
      <c r="P8" s="43"/>
      <c r="Q8" s="43"/>
      <c r="R8" s="43"/>
      <c r="S8" s="44">
        <v>523300</v>
      </c>
      <c r="T8" s="12"/>
      <c r="U8" s="44">
        <v>530200</v>
      </c>
      <c r="V8" s="10"/>
      <c r="W8" s="44">
        <v>707113.51</v>
      </c>
      <c r="X8" s="12"/>
      <c r="Y8" s="11">
        <v>176913.51</v>
      </c>
      <c r="Z8" s="12"/>
    </row>
    <row r="9" ht="16.5" spans="1:26">
      <c r="A9" s="45" t="s">
        <v>21</v>
      </c>
      <c r="B9" s="45"/>
      <c r="C9" s="3" t="s">
        <v>22</v>
      </c>
      <c r="D9" s="39" t="s">
        <v>99</v>
      </c>
      <c r="E9" s="14">
        <v>140000</v>
      </c>
      <c r="F9" s="15"/>
      <c r="G9" s="14">
        <v>140000</v>
      </c>
      <c r="H9" s="46"/>
      <c r="I9" s="46"/>
      <c r="J9" s="15"/>
      <c r="K9" s="14">
        <f t="shared" ref="K9:K19" si="2">I9-E9</f>
        <v>-140000</v>
      </c>
      <c r="L9" s="15">
        <f t="shared" ref="L9:L19" si="3">K9/E9</f>
        <v>-1</v>
      </c>
      <c r="O9" s="45" t="s">
        <v>21</v>
      </c>
      <c r="P9" s="45"/>
      <c r="Q9" s="3" t="s">
        <v>22</v>
      </c>
      <c r="R9" s="39" t="s">
        <v>99</v>
      </c>
      <c r="S9" s="14">
        <v>710000</v>
      </c>
      <c r="T9" s="15"/>
      <c r="U9" s="14">
        <v>720000</v>
      </c>
      <c r="V9" s="46"/>
      <c r="W9" s="46">
        <v>668476.96</v>
      </c>
      <c r="X9" s="15"/>
      <c r="Y9" s="14">
        <v>-41523.04</v>
      </c>
      <c r="Z9" s="15">
        <v>-0.0584831549295775</v>
      </c>
    </row>
    <row r="10" ht="16.5" spans="1:26">
      <c r="A10" s="45"/>
      <c r="B10" s="45"/>
      <c r="C10" s="3" t="s">
        <v>24</v>
      </c>
      <c r="D10" s="39" t="s">
        <v>100</v>
      </c>
      <c r="E10" s="14">
        <v>35000</v>
      </c>
      <c r="F10" s="15"/>
      <c r="G10" s="14">
        <v>35000</v>
      </c>
      <c r="H10" s="46"/>
      <c r="I10" s="46"/>
      <c r="J10" s="15"/>
      <c r="K10" s="14">
        <f t="shared" si="2"/>
        <v>-35000</v>
      </c>
      <c r="L10" s="15">
        <f t="shared" si="3"/>
        <v>-1</v>
      </c>
      <c r="O10" s="45"/>
      <c r="P10" s="45"/>
      <c r="Q10" s="3" t="s">
        <v>24</v>
      </c>
      <c r="R10" s="39" t="s">
        <v>100</v>
      </c>
      <c r="S10" s="14">
        <v>185000</v>
      </c>
      <c r="T10" s="15"/>
      <c r="U10" s="14">
        <v>170000</v>
      </c>
      <c r="V10" s="46"/>
      <c r="W10" s="46">
        <v>78220.24</v>
      </c>
      <c r="X10" s="15"/>
      <c r="Y10" s="14">
        <v>-106779.76</v>
      </c>
      <c r="Z10" s="15">
        <v>-0.577187891891892</v>
      </c>
    </row>
    <row r="11" ht="16.5" spans="1:26">
      <c r="A11" s="45"/>
      <c r="B11" s="45"/>
      <c r="C11" s="3" t="s">
        <v>26</v>
      </c>
      <c r="D11" s="39" t="s">
        <v>101</v>
      </c>
      <c r="E11" s="14">
        <v>100000</v>
      </c>
      <c r="F11" s="15"/>
      <c r="G11" s="14">
        <v>100000</v>
      </c>
      <c r="H11" s="46"/>
      <c r="I11" s="14"/>
      <c r="J11" s="15"/>
      <c r="K11" s="14">
        <f t="shared" si="2"/>
        <v>-100000</v>
      </c>
      <c r="L11" s="15">
        <f t="shared" si="3"/>
        <v>-1</v>
      </c>
      <c r="O11" s="45"/>
      <c r="P11" s="45"/>
      <c r="Q11" s="3" t="s">
        <v>26</v>
      </c>
      <c r="R11" s="39" t="s">
        <v>101</v>
      </c>
      <c r="S11" s="14">
        <v>40000</v>
      </c>
      <c r="T11" s="15"/>
      <c r="U11" s="14">
        <v>80000</v>
      </c>
      <c r="V11" s="46"/>
      <c r="W11" s="46">
        <v>287124.21</v>
      </c>
      <c r="X11" s="15"/>
      <c r="Y11" s="14">
        <v>247124.21</v>
      </c>
      <c r="Z11" s="15">
        <v>6.17810525</v>
      </c>
    </row>
    <row r="12" ht="16.5" spans="1:26">
      <c r="A12" s="45"/>
      <c r="B12" s="45"/>
      <c r="C12" s="3" t="s">
        <v>28</v>
      </c>
      <c r="D12" s="39" t="s">
        <v>102</v>
      </c>
      <c r="E12" s="14">
        <v>50000</v>
      </c>
      <c r="F12" s="15"/>
      <c r="G12" s="14">
        <v>50000</v>
      </c>
      <c r="H12" s="46"/>
      <c r="I12" s="46"/>
      <c r="J12" s="15"/>
      <c r="K12" s="14">
        <f t="shared" si="2"/>
        <v>-50000</v>
      </c>
      <c r="L12" s="15">
        <f t="shared" si="3"/>
        <v>-1</v>
      </c>
      <c r="O12" s="45"/>
      <c r="P12" s="45"/>
      <c r="Q12" s="3" t="s">
        <v>28</v>
      </c>
      <c r="R12" s="39" t="s">
        <v>102</v>
      </c>
      <c r="S12" s="14">
        <v>135000</v>
      </c>
      <c r="T12" s="15"/>
      <c r="U12" s="14">
        <v>155000</v>
      </c>
      <c r="V12" s="46"/>
      <c r="W12" s="46">
        <v>78164.8</v>
      </c>
      <c r="X12" s="15"/>
      <c r="Y12" s="14">
        <v>-56835.2</v>
      </c>
      <c r="Z12" s="15">
        <v>-0.421001481481481</v>
      </c>
    </row>
    <row r="13" ht="16.5" spans="1:26">
      <c r="A13" s="45"/>
      <c r="B13" s="45"/>
      <c r="C13" s="3" t="s">
        <v>30</v>
      </c>
      <c r="D13" s="39" t="s">
        <v>103</v>
      </c>
      <c r="E13" s="14">
        <v>132600</v>
      </c>
      <c r="F13" s="15"/>
      <c r="G13" s="14">
        <v>132600</v>
      </c>
      <c r="H13" s="14"/>
      <c r="I13" s="14"/>
      <c r="J13" s="15"/>
      <c r="K13" s="14">
        <f t="shared" si="2"/>
        <v>-132600</v>
      </c>
      <c r="L13" s="15">
        <f t="shared" si="3"/>
        <v>-1</v>
      </c>
      <c r="O13" s="45"/>
      <c r="P13" s="45"/>
      <c r="Q13" s="3" t="s">
        <v>30</v>
      </c>
      <c r="R13" s="39" t="s">
        <v>103</v>
      </c>
      <c r="S13" s="14">
        <v>309200</v>
      </c>
      <c r="T13" s="15"/>
      <c r="U13" s="14">
        <v>319200</v>
      </c>
      <c r="V13" s="14"/>
      <c r="W13" s="46">
        <v>636130.21</v>
      </c>
      <c r="X13" s="15"/>
      <c r="Y13" s="14">
        <v>326930.21</v>
      </c>
      <c r="Z13" s="15">
        <v>1.05734220569211</v>
      </c>
    </row>
    <row r="14" ht="16.5" spans="1:26">
      <c r="A14" s="45"/>
      <c r="B14" s="45"/>
      <c r="C14" s="3" t="s">
        <v>32</v>
      </c>
      <c r="D14" s="39" t="s">
        <v>104</v>
      </c>
      <c r="E14" s="14"/>
      <c r="F14" s="15"/>
      <c r="G14" s="14"/>
      <c r="H14" s="14"/>
      <c r="I14" s="14"/>
      <c r="J14" s="15"/>
      <c r="K14" s="14">
        <f t="shared" si="2"/>
        <v>0</v>
      </c>
      <c r="L14" s="15" t="e">
        <f t="shared" si="3"/>
        <v>#DIV/0!</v>
      </c>
      <c r="O14" s="45"/>
      <c r="P14" s="45"/>
      <c r="Q14" s="3" t="s">
        <v>32</v>
      </c>
      <c r="R14" s="39" t="s">
        <v>104</v>
      </c>
      <c r="S14" s="14">
        <v>0</v>
      </c>
      <c r="T14" s="15"/>
      <c r="U14" s="14">
        <v>0</v>
      </c>
      <c r="V14" s="14"/>
      <c r="W14" s="46">
        <v>0</v>
      </c>
      <c r="X14" s="15"/>
      <c r="Y14" s="14">
        <v>0</v>
      </c>
      <c r="Z14" s="15" t="e">
        <v>#DIV/0!</v>
      </c>
    </row>
    <row r="15" ht="16.5" spans="1:26">
      <c r="A15" s="45"/>
      <c r="B15" s="45"/>
      <c r="C15" s="3" t="s">
        <v>34</v>
      </c>
      <c r="D15" s="39" t="s">
        <v>105</v>
      </c>
      <c r="E15" s="14"/>
      <c r="F15" s="15"/>
      <c r="G15" s="14"/>
      <c r="H15" s="14"/>
      <c r="I15" s="14"/>
      <c r="J15" s="15"/>
      <c r="K15" s="14">
        <f t="shared" si="2"/>
        <v>0</v>
      </c>
      <c r="L15" s="15" t="e">
        <f t="shared" si="3"/>
        <v>#DIV/0!</v>
      </c>
      <c r="O15" s="45"/>
      <c r="P15" s="45"/>
      <c r="Q15" s="3" t="s">
        <v>34</v>
      </c>
      <c r="R15" s="39" t="s">
        <v>105</v>
      </c>
      <c r="S15" s="14">
        <v>0</v>
      </c>
      <c r="T15" s="15"/>
      <c r="U15" s="14">
        <v>0</v>
      </c>
      <c r="V15" s="14"/>
      <c r="W15" s="46">
        <v>0</v>
      </c>
      <c r="X15" s="15"/>
      <c r="Y15" s="14">
        <v>0</v>
      </c>
      <c r="Z15" s="15" t="e">
        <v>#DIV/0!</v>
      </c>
    </row>
    <row r="16" ht="16.5" spans="1:26">
      <c r="A16" s="45"/>
      <c r="B16" s="45"/>
      <c r="C16" s="47" t="s">
        <v>40</v>
      </c>
      <c r="D16" s="39" t="s">
        <v>106</v>
      </c>
      <c r="E16" s="14">
        <v>500</v>
      </c>
      <c r="F16" s="14"/>
      <c r="G16" s="14">
        <v>500</v>
      </c>
      <c r="H16" s="14"/>
      <c r="I16" s="14">
        <v>500</v>
      </c>
      <c r="J16" s="15"/>
      <c r="K16" s="14">
        <f t="shared" si="2"/>
        <v>0</v>
      </c>
      <c r="L16" s="15">
        <f t="shared" si="3"/>
        <v>0</v>
      </c>
      <c r="O16" s="45"/>
      <c r="P16" s="45"/>
      <c r="Q16" s="47" t="s">
        <v>40</v>
      </c>
      <c r="R16" s="39" t="s">
        <v>106</v>
      </c>
      <c r="S16" s="14">
        <v>1500</v>
      </c>
      <c r="T16" s="14"/>
      <c r="U16" s="14">
        <v>1500</v>
      </c>
      <c r="V16" s="14"/>
      <c r="W16" s="46">
        <v>1500</v>
      </c>
      <c r="X16" s="15"/>
      <c r="Y16" s="14">
        <v>0</v>
      </c>
      <c r="Z16" s="15">
        <v>0</v>
      </c>
    </row>
    <row r="17" ht="16.5" spans="1:26">
      <c r="A17" s="45"/>
      <c r="B17" s="45"/>
      <c r="C17" s="48" t="s">
        <v>42</v>
      </c>
      <c r="D17" s="39" t="s">
        <v>107</v>
      </c>
      <c r="E17" s="14"/>
      <c r="F17" s="14"/>
      <c r="G17" s="14"/>
      <c r="H17" s="14"/>
      <c r="I17" s="14"/>
      <c r="J17" s="15"/>
      <c r="K17" s="14">
        <f t="shared" si="2"/>
        <v>0</v>
      </c>
      <c r="L17" s="15" t="e">
        <f t="shared" si="3"/>
        <v>#DIV/0!</v>
      </c>
      <c r="O17" s="45"/>
      <c r="P17" s="45"/>
      <c r="Q17" s="48" t="s">
        <v>42</v>
      </c>
      <c r="R17" s="39" t="s">
        <v>107</v>
      </c>
      <c r="S17" s="14">
        <v>0</v>
      </c>
      <c r="T17" s="14"/>
      <c r="U17" s="14">
        <v>0</v>
      </c>
      <c r="V17" s="14"/>
      <c r="W17" s="46">
        <v>0</v>
      </c>
      <c r="X17" s="15"/>
      <c r="Y17" s="14">
        <v>0</v>
      </c>
      <c r="Z17" s="15" t="e">
        <v>#DIV/0!</v>
      </c>
    </row>
    <row r="18" ht="16.5" spans="1:26">
      <c r="A18" s="45"/>
      <c r="B18" s="45"/>
      <c r="C18" s="48" t="s">
        <v>44</v>
      </c>
      <c r="D18" s="39" t="s">
        <v>108</v>
      </c>
      <c r="E18" s="14">
        <v>482.5</v>
      </c>
      <c r="F18" s="14"/>
      <c r="G18" s="14">
        <v>482.5</v>
      </c>
      <c r="H18" s="14"/>
      <c r="I18" s="14">
        <v>482.5</v>
      </c>
      <c r="J18" s="15"/>
      <c r="K18" s="14">
        <f t="shared" si="2"/>
        <v>0</v>
      </c>
      <c r="L18" s="15">
        <f t="shared" si="3"/>
        <v>0</v>
      </c>
      <c r="O18" s="45"/>
      <c r="P18" s="45"/>
      <c r="Q18" s="48" t="s">
        <v>44</v>
      </c>
      <c r="R18" s="39" t="s">
        <v>108</v>
      </c>
      <c r="S18" s="14">
        <v>1447.5</v>
      </c>
      <c r="T18" s="14"/>
      <c r="U18" s="14">
        <v>1447.5</v>
      </c>
      <c r="V18" s="14"/>
      <c r="W18" s="46">
        <v>1447.5</v>
      </c>
      <c r="X18" s="15"/>
      <c r="Y18" s="14">
        <v>0</v>
      </c>
      <c r="Z18" s="15">
        <v>0</v>
      </c>
    </row>
    <row r="19" ht="22.5" spans="1:26">
      <c r="A19" s="49" t="s">
        <v>46</v>
      </c>
      <c r="B19" s="49"/>
      <c r="C19" s="49"/>
      <c r="D19" s="50" t="s">
        <v>18</v>
      </c>
      <c r="E19" s="44">
        <f t="shared" ref="E19:I19" si="4">SUM(E9:E18)</f>
        <v>458582.5</v>
      </c>
      <c r="F19" s="44"/>
      <c r="G19" s="51">
        <f t="shared" si="4"/>
        <v>458582.5</v>
      </c>
      <c r="H19" s="51"/>
      <c r="I19" s="51">
        <f t="shared" si="4"/>
        <v>982.5</v>
      </c>
      <c r="J19" s="52"/>
      <c r="K19" s="44">
        <f t="shared" si="2"/>
        <v>-457600</v>
      </c>
      <c r="L19" s="52">
        <f t="shared" si="3"/>
        <v>-0.997857528361854</v>
      </c>
      <c r="O19" s="49" t="s">
        <v>46</v>
      </c>
      <c r="P19" s="49"/>
      <c r="Q19" s="49"/>
      <c r="R19" s="50" t="s">
        <v>18</v>
      </c>
      <c r="S19" s="44">
        <v>1382147.5</v>
      </c>
      <c r="T19" s="44"/>
      <c r="U19" s="51">
        <v>1447147.5</v>
      </c>
      <c r="V19" s="51"/>
      <c r="W19" s="51">
        <v>1751063.92</v>
      </c>
      <c r="X19" s="52"/>
      <c r="Y19" s="44">
        <v>368916.42</v>
      </c>
      <c r="Z19" s="52">
        <v>0.266915376253258</v>
      </c>
    </row>
    <row r="20" ht="16.5" spans="1:26">
      <c r="A20" s="3" t="s">
        <v>61</v>
      </c>
      <c r="B20" s="3"/>
      <c r="C20" s="3" t="s">
        <v>62</v>
      </c>
      <c r="D20" s="39" t="s">
        <v>109</v>
      </c>
      <c r="E20" s="3">
        <v>14</v>
      </c>
      <c r="F20" s="3"/>
      <c r="G20" s="3"/>
      <c r="H20" s="3"/>
      <c r="I20" s="3">
        <v>14</v>
      </c>
      <c r="J20" s="3"/>
      <c r="K20" s="14"/>
      <c r="L20" s="14"/>
      <c r="O20" s="3" t="s">
        <v>61</v>
      </c>
      <c r="P20" s="3"/>
      <c r="Q20" s="3" t="s">
        <v>62</v>
      </c>
      <c r="R20" s="39" t="s">
        <v>109</v>
      </c>
      <c r="S20" s="3">
        <v>14</v>
      </c>
      <c r="T20" s="3"/>
      <c r="U20" s="3"/>
      <c r="V20" s="3"/>
      <c r="W20" s="3">
        <v>14</v>
      </c>
      <c r="X20" s="3"/>
      <c r="Y20" s="14"/>
      <c r="Z20" s="14"/>
    </row>
    <row r="21" ht="16.5" spans="1:26">
      <c r="A21" s="3"/>
      <c r="B21" s="3"/>
      <c r="C21" s="3" t="s">
        <v>64</v>
      </c>
      <c r="D21" s="39" t="s">
        <v>110</v>
      </c>
      <c r="E21" s="3">
        <v>0</v>
      </c>
      <c r="F21" s="3"/>
      <c r="G21" s="3"/>
      <c r="H21" s="3"/>
      <c r="I21" s="3">
        <v>0</v>
      </c>
      <c r="J21" s="3"/>
      <c r="K21" s="14"/>
      <c r="L21" s="14"/>
      <c r="O21" s="3"/>
      <c r="P21" s="3"/>
      <c r="Q21" s="3" t="s">
        <v>64</v>
      </c>
      <c r="R21" s="39" t="s">
        <v>110</v>
      </c>
      <c r="S21" s="3">
        <v>0</v>
      </c>
      <c r="T21" s="3"/>
      <c r="U21" s="3"/>
      <c r="V21" s="3"/>
      <c r="W21" s="3">
        <v>0</v>
      </c>
      <c r="X21" s="3"/>
      <c r="Y21" s="14"/>
      <c r="Z21" s="14"/>
    </row>
    <row r="22" ht="16.5" spans="1:26">
      <c r="A22" s="3"/>
      <c r="B22" s="3"/>
      <c r="C22" s="3" t="s">
        <v>66</v>
      </c>
      <c r="D22" s="39" t="s">
        <v>111</v>
      </c>
      <c r="E22" s="30">
        <v>14</v>
      </c>
      <c r="F22" s="30"/>
      <c r="G22" s="30"/>
      <c r="H22" s="30"/>
      <c r="I22" s="30">
        <v>14</v>
      </c>
      <c r="J22" s="30"/>
      <c r="K22" s="14"/>
      <c r="L22" s="14"/>
      <c r="O22" s="3"/>
      <c r="P22" s="3"/>
      <c r="Q22" s="3" t="s">
        <v>66</v>
      </c>
      <c r="R22" s="39" t="s">
        <v>111</v>
      </c>
      <c r="S22" s="30">
        <v>14</v>
      </c>
      <c r="T22" s="30"/>
      <c r="U22" s="30"/>
      <c r="V22" s="30"/>
      <c r="W22" s="30">
        <v>14</v>
      </c>
      <c r="X22" s="30"/>
      <c r="Y22" s="14"/>
      <c r="Z22" s="14"/>
    </row>
    <row r="23" ht="16.5" spans="1:26">
      <c r="A23" s="3" t="s">
        <v>68</v>
      </c>
      <c r="B23" s="3"/>
      <c r="C23" s="3" t="s">
        <v>69</v>
      </c>
      <c r="D23" s="39" t="s">
        <v>112</v>
      </c>
      <c r="E23" s="30">
        <v>2688</v>
      </c>
      <c r="F23" s="30"/>
      <c r="G23" s="30"/>
      <c r="H23" s="30"/>
      <c r="I23" s="30">
        <v>2688</v>
      </c>
      <c r="J23" s="30"/>
      <c r="K23" s="14"/>
      <c r="L23" s="14"/>
      <c r="O23" s="3" t="s">
        <v>68</v>
      </c>
      <c r="P23" s="3"/>
      <c r="Q23" s="3" t="s">
        <v>69</v>
      </c>
      <c r="R23" s="39" t="s">
        <v>112</v>
      </c>
      <c r="S23" s="30">
        <v>2688</v>
      </c>
      <c r="T23" s="30"/>
      <c r="U23" s="30"/>
      <c r="V23" s="30"/>
      <c r="W23" s="30">
        <v>2688</v>
      </c>
      <c r="X23" s="30"/>
      <c r="Y23" s="14"/>
      <c r="Z23" s="14"/>
    </row>
    <row r="24" ht="16.5" spans="1:26">
      <c r="A24" s="3"/>
      <c r="B24" s="3"/>
      <c r="C24" s="3" t="s">
        <v>71</v>
      </c>
      <c r="D24" s="39" t="s">
        <v>23</v>
      </c>
      <c r="E24" s="30">
        <v>80</v>
      </c>
      <c r="F24" s="30"/>
      <c r="G24" s="30"/>
      <c r="H24" s="30"/>
      <c r="I24" s="30">
        <v>65</v>
      </c>
      <c r="J24" s="30"/>
      <c r="K24" s="14"/>
      <c r="L24" s="14"/>
      <c r="O24" s="3"/>
      <c r="P24" s="3"/>
      <c r="Q24" s="3" t="s">
        <v>71</v>
      </c>
      <c r="R24" s="39" t="s">
        <v>23</v>
      </c>
      <c r="S24" s="30">
        <v>50</v>
      </c>
      <c r="T24" s="30"/>
      <c r="U24" s="30"/>
      <c r="V24" s="30"/>
      <c r="W24" s="30"/>
      <c r="X24" s="30"/>
      <c r="Y24" s="14"/>
      <c r="Z24" s="14"/>
    </row>
    <row r="25" ht="16.5" spans="1:26">
      <c r="A25" s="3"/>
      <c r="B25" s="3"/>
      <c r="C25" s="3" t="s">
        <v>73</v>
      </c>
      <c r="D25" s="39" t="s">
        <v>113</v>
      </c>
      <c r="E25" s="30"/>
      <c r="F25" s="30"/>
      <c r="G25" s="30"/>
      <c r="H25" s="30"/>
      <c r="I25" s="30"/>
      <c r="J25" s="30"/>
      <c r="K25" s="14"/>
      <c r="L25" s="14"/>
      <c r="O25" s="3"/>
      <c r="P25" s="3"/>
      <c r="Q25" s="3" t="s">
        <v>73</v>
      </c>
      <c r="R25" s="39" t="s">
        <v>113</v>
      </c>
      <c r="S25" s="30"/>
      <c r="T25" s="30"/>
      <c r="U25" s="30"/>
      <c r="V25" s="30"/>
      <c r="W25" s="30"/>
      <c r="X25" s="30"/>
      <c r="Y25" s="14"/>
      <c r="Z25" s="14"/>
    </row>
    <row r="26" ht="16.5" spans="1:26">
      <c r="A26" s="10" t="s">
        <v>77</v>
      </c>
      <c r="B26" s="10"/>
      <c r="C26" s="10"/>
      <c r="D26" s="29" t="s">
        <v>78</v>
      </c>
      <c r="E26" s="32"/>
      <c r="F26" s="32"/>
      <c r="G26" s="11"/>
      <c r="H26" s="11"/>
      <c r="I26" s="11"/>
      <c r="J26" s="11"/>
      <c r="K26" s="32"/>
      <c r="L26" s="32"/>
      <c r="O26" s="10" t="s">
        <v>77</v>
      </c>
      <c r="P26" s="10"/>
      <c r="Q26" s="10"/>
      <c r="R26" s="29" t="s">
        <v>184</v>
      </c>
      <c r="S26" s="32"/>
      <c r="T26" s="32"/>
      <c r="U26" s="11"/>
      <c r="V26" s="11"/>
      <c r="W26" s="11"/>
      <c r="X26" s="11"/>
      <c r="Y26" s="32"/>
      <c r="Z26" s="32"/>
    </row>
    <row r="27" ht="16.5" spans="1:26">
      <c r="A27" s="53"/>
      <c r="B27" s="53"/>
      <c r="C27" s="8"/>
      <c r="D27" s="54" t="s">
        <v>2</v>
      </c>
      <c r="E27" s="2" t="s">
        <v>88</v>
      </c>
      <c r="F27" s="2"/>
      <c r="G27" s="36" t="s">
        <v>89</v>
      </c>
      <c r="H27" s="37"/>
      <c r="I27" s="2" t="s">
        <v>90</v>
      </c>
      <c r="J27" s="2"/>
      <c r="K27" s="2" t="s">
        <v>6</v>
      </c>
      <c r="L27" s="2"/>
      <c r="O27" s="53"/>
      <c r="P27" s="53"/>
      <c r="Q27" s="8"/>
      <c r="R27" s="54" t="s">
        <v>2</v>
      </c>
      <c r="S27" s="2" t="s">
        <v>88</v>
      </c>
      <c r="T27" s="2"/>
      <c r="U27" s="36" t="s">
        <v>89</v>
      </c>
      <c r="V27" s="37"/>
      <c r="W27" s="2" t="s">
        <v>90</v>
      </c>
      <c r="X27" s="2"/>
      <c r="Y27" s="2" t="s">
        <v>6</v>
      </c>
      <c r="Z27" s="2"/>
    </row>
    <row r="28" ht="22.5" spans="1:26">
      <c r="A28" s="55"/>
      <c r="B28" s="55"/>
      <c r="C28" s="55"/>
      <c r="D28" s="56"/>
      <c r="E28" s="2" t="s">
        <v>91</v>
      </c>
      <c r="F28" s="2" t="s">
        <v>8</v>
      </c>
      <c r="G28" s="2" t="s">
        <v>7</v>
      </c>
      <c r="H28" s="2" t="s">
        <v>8</v>
      </c>
      <c r="I28" s="2" t="s">
        <v>9</v>
      </c>
      <c r="J28" s="2" t="s">
        <v>8</v>
      </c>
      <c r="K28" s="2" t="s">
        <v>10</v>
      </c>
      <c r="L28" s="2" t="s">
        <v>11</v>
      </c>
      <c r="O28" s="55"/>
      <c r="P28" s="55"/>
      <c r="Q28" s="55"/>
      <c r="R28" s="56"/>
      <c r="S28" s="2" t="s">
        <v>91</v>
      </c>
      <c r="T28" s="2" t="s">
        <v>8</v>
      </c>
      <c r="U28" s="2" t="s">
        <v>7</v>
      </c>
      <c r="V28" s="2" t="s">
        <v>8</v>
      </c>
      <c r="W28" s="2" t="s">
        <v>9</v>
      </c>
      <c r="X28" s="2" t="s">
        <v>8</v>
      </c>
      <c r="Y28" s="2" t="s">
        <v>10</v>
      </c>
      <c r="Z28" s="2" t="s">
        <v>11</v>
      </c>
    </row>
    <row r="29" ht="16.5" spans="1:26">
      <c r="A29" s="45" t="s">
        <v>114</v>
      </c>
      <c r="B29" s="45"/>
      <c r="C29" s="57" t="s">
        <v>115</v>
      </c>
      <c r="D29" s="58" t="s">
        <v>116</v>
      </c>
      <c r="E29" s="59"/>
      <c r="F29" s="60"/>
      <c r="G29" s="59"/>
      <c r="H29" s="61"/>
      <c r="I29" s="61"/>
      <c r="J29" s="60"/>
      <c r="K29" s="60">
        <f>I29-E29</f>
        <v>0</v>
      </c>
      <c r="L29" s="62" t="e">
        <f>K29/E29</f>
        <v>#DIV/0!</v>
      </c>
      <c r="O29" s="45" t="s">
        <v>114</v>
      </c>
      <c r="P29" s="45"/>
      <c r="Q29" s="57" t="s">
        <v>115</v>
      </c>
      <c r="R29" s="58" t="s">
        <v>116</v>
      </c>
      <c r="S29" s="59">
        <v>5350000</v>
      </c>
      <c r="T29" s="60"/>
      <c r="U29" s="59">
        <v>5350000</v>
      </c>
      <c r="V29" s="61"/>
      <c r="W29" s="61"/>
      <c r="X29" s="60"/>
      <c r="Y29" s="60">
        <v>-1804067</v>
      </c>
      <c r="Z29" s="62">
        <v>-0.337208785046729</v>
      </c>
    </row>
    <row r="30" ht="16.5" spans="1:26">
      <c r="A30" s="45"/>
      <c r="B30" s="45"/>
      <c r="C30" s="63" t="s">
        <v>117</v>
      </c>
      <c r="D30" s="14" t="s">
        <v>118</v>
      </c>
      <c r="E30" s="14"/>
      <c r="F30" s="14"/>
      <c r="G30" s="14"/>
      <c r="H30" s="27"/>
      <c r="I30" s="27"/>
      <c r="J30" s="15"/>
      <c r="K30" s="14"/>
      <c r="L30" s="15"/>
      <c r="O30" s="45"/>
      <c r="P30" s="45"/>
      <c r="Q30" s="63" t="s">
        <v>117</v>
      </c>
      <c r="R30" s="14" t="s">
        <v>118</v>
      </c>
      <c r="S30" s="14">
        <v>3850000</v>
      </c>
      <c r="T30" s="14"/>
      <c r="U30" s="30">
        <v>3850000</v>
      </c>
      <c r="V30" s="27"/>
      <c r="W30" s="27"/>
      <c r="X30" s="15"/>
      <c r="Y30" s="14"/>
      <c r="Z30" s="15"/>
    </row>
    <row r="31" ht="16.5" spans="1:26">
      <c r="A31" s="45"/>
      <c r="B31" s="45"/>
      <c r="C31" s="63" t="s">
        <v>119</v>
      </c>
      <c r="D31" s="14" t="s">
        <v>120</v>
      </c>
      <c r="E31" s="14"/>
      <c r="F31" s="14"/>
      <c r="G31" s="14"/>
      <c r="H31" s="27"/>
      <c r="I31" s="27"/>
      <c r="J31" s="15"/>
      <c r="K31" s="14"/>
      <c r="L31" s="15"/>
      <c r="O31" s="45"/>
      <c r="P31" s="45"/>
      <c r="Q31" s="63" t="s">
        <v>119</v>
      </c>
      <c r="R31" s="14" t="s">
        <v>120</v>
      </c>
      <c r="S31" s="14">
        <v>200000</v>
      </c>
      <c r="T31" s="14"/>
      <c r="U31" s="30">
        <v>200000</v>
      </c>
      <c r="V31" s="27"/>
      <c r="W31" s="27"/>
      <c r="X31" s="15"/>
      <c r="Y31" s="14"/>
      <c r="Z31" s="15"/>
    </row>
    <row r="32" ht="16.5" spans="1:26">
      <c r="A32" s="45"/>
      <c r="B32" s="45"/>
      <c r="C32" s="63" t="s">
        <v>121</v>
      </c>
      <c r="D32" s="14" t="s">
        <v>122</v>
      </c>
      <c r="E32" s="14"/>
      <c r="F32" s="14"/>
      <c r="G32" s="14"/>
      <c r="H32" s="27"/>
      <c r="I32" s="27"/>
      <c r="J32" s="15"/>
      <c r="K32" s="14"/>
      <c r="L32" s="15"/>
      <c r="O32" s="45"/>
      <c r="P32" s="45"/>
      <c r="Q32" s="63" t="s">
        <v>121</v>
      </c>
      <c r="R32" s="14" t="s">
        <v>122</v>
      </c>
      <c r="S32" s="14">
        <v>320000</v>
      </c>
      <c r="T32" s="14"/>
      <c r="U32" s="30">
        <v>320000</v>
      </c>
      <c r="V32" s="27"/>
      <c r="W32" s="27"/>
      <c r="X32" s="15"/>
      <c r="Y32" s="14"/>
      <c r="Z32" s="15"/>
    </row>
    <row r="33" ht="16.5" spans="1:26">
      <c r="A33" s="45"/>
      <c r="B33" s="45"/>
      <c r="C33" s="63" t="s">
        <v>123</v>
      </c>
      <c r="D33" s="14" t="s">
        <v>124</v>
      </c>
      <c r="E33" s="14"/>
      <c r="F33" s="14"/>
      <c r="G33" s="14"/>
      <c r="H33" s="27"/>
      <c r="I33" s="27"/>
      <c r="J33" s="15"/>
      <c r="K33" s="14"/>
      <c r="L33" s="15"/>
      <c r="O33" s="45"/>
      <c r="P33" s="45"/>
      <c r="Q33" s="63" t="s">
        <v>123</v>
      </c>
      <c r="R33" s="14" t="s">
        <v>124</v>
      </c>
      <c r="S33" s="14">
        <v>10100000</v>
      </c>
      <c r="T33" s="14"/>
      <c r="U33" s="30">
        <v>10100000</v>
      </c>
      <c r="V33" s="27"/>
      <c r="W33" s="27"/>
      <c r="X33" s="15"/>
      <c r="Y33" s="14"/>
      <c r="Z33" s="15"/>
    </row>
    <row r="34" ht="16.5" spans="1:26">
      <c r="A34" s="45"/>
      <c r="B34" s="45"/>
      <c r="C34" s="64" t="s">
        <v>125</v>
      </c>
      <c r="D34" s="58" t="s">
        <v>126</v>
      </c>
      <c r="E34" s="21"/>
      <c r="F34" s="21"/>
      <c r="G34" s="21"/>
      <c r="H34" s="65"/>
      <c r="I34" s="65"/>
      <c r="J34" s="66"/>
      <c r="K34" s="21"/>
      <c r="L34" s="66"/>
      <c r="O34" s="45"/>
      <c r="P34" s="45"/>
      <c r="Q34" s="64" t="s">
        <v>125</v>
      </c>
      <c r="R34" s="58" t="s">
        <v>126</v>
      </c>
      <c r="S34" s="21">
        <v>14470000</v>
      </c>
      <c r="T34" s="21"/>
      <c r="U34" s="65">
        <v>14470000</v>
      </c>
      <c r="V34" s="65"/>
      <c r="W34" s="65"/>
      <c r="X34" s="66"/>
      <c r="Y34" s="21"/>
      <c r="Z34" s="66"/>
    </row>
    <row r="35" ht="16.5" spans="1:26">
      <c r="A35" s="45"/>
      <c r="B35" s="45"/>
      <c r="C35" s="64" t="s">
        <v>127</v>
      </c>
      <c r="D35" s="58" t="s">
        <v>128</v>
      </c>
      <c r="E35" s="67"/>
      <c r="F35" s="21"/>
      <c r="G35" s="67"/>
      <c r="H35" s="65"/>
      <c r="I35" s="65"/>
      <c r="J35" s="66"/>
      <c r="K35" s="21"/>
      <c r="L35" s="66"/>
      <c r="O35" s="45"/>
      <c r="P35" s="45"/>
      <c r="Q35" s="64" t="s">
        <v>127</v>
      </c>
      <c r="R35" s="58" t="s">
        <v>128</v>
      </c>
      <c r="S35" s="67">
        <v>131000000</v>
      </c>
      <c r="T35" s="21"/>
      <c r="U35" s="67">
        <v>131000000</v>
      </c>
      <c r="V35" s="65"/>
      <c r="W35" s="65"/>
      <c r="X35" s="66"/>
      <c r="Y35" s="21"/>
      <c r="Z35" s="66"/>
    </row>
  </sheetData>
  <mergeCells count="88">
    <mergeCell ref="A1:L1"/>
    <mergeCell ref="O1:Z1"/>
    <mergeCell ref="E2:L2"/>
    <mergeCell ref="S2:Z2"/>
    <mergeCell ref="E3:F3"/>
    <mergeCell ref="G3:H3"/>
    <mergeCell ref="I3:J3"/>
    <mergeCell ref="K3:L3"/>
    <mergeCell ref="S3:T3"/>
    <mergeCell ref="U3:V3"/>
    <mergeCell ref="W3:X3"/>
    <mergeCell ref="Y3:Z3"/>
    <mergeCell ref="A5:C5"/>
    <mergeCell ref="O5:Q5"/>
    <mergeCell ref="A6:C6"/>
    <mergeCell ref="O6:Q6"/>
    <mergeCell ref="A7:C7"/>
    <mergeCell ref="O7:Q7"/>
    <mergeCell ref="A8:D8"/>
    <mergeCell ref="O8:R8"/>
    <mergeCell ref="A19:C19"/>
    <mergeCell ref="O19:Q19"/>
    <mergeCell ref="E20:F20"/>
    <mergeCell ref="I20:J20"/>
    <mergeCell ref="K20:L20"/>
    <mergeCell ref="S20:T20"/>
    <mergeCell ref="W20:X20"/>
    <mergeCell ref="Y20:Z20"/>
    <mergeCell ref="E21:F21"/>
    <mergeCell ref="I21:J21"/>
    <mergeCell ref="K21:L21"/>
    <mergeCell ref="S21:T21"/>
    <mergeCell ref="W21:X21"/>
    <mergeCell ref="Y21:Z21"/>
    <mergeCell ref="E22:F22"/>
    <mergeCell ref="I22:J22"/>
    <mergeCell ref="K22:L22"/>
    <mergeCell ref="S22:T22"/>
    <mergeCell ref="W22:X22"/>
    <mergeCell ref="Y22:Z22"/>
    <mergeCell ref="E23:F23"/>
    <mergeCell ref="I23:J23"/>
    <mergeCell ref="K23:L23"/>
    <mergeCell ref="S23:T23"/>
    <mergeCell ref="W23:X23"/>
    <mergeCell ref="Y23:Z23"/>
    <mergeCell ref="E24:F24"/>
    <mergeCell ref="I24:J24"/>
    <mergeCell ref="K24:L24"/>
    <mergeCell ref="S24:T24"/>
    <mergeCell ref="W24:X24"/>
    <mergeCell ref="Y24:Z24"/>
    <mergeCell ref="E25:F25"/>
    <mergeCell ref="I25:J25"/>
    <mergeCell ref="K25:L25"/>
    <mergeCell ref="S25:T25"/>
    <mergeCell ref="W25:X25"/>
    <mergeCell ref="Y25:Z25"/>
    <mergeCell ref="A26:C26"/>
    <mergeCell ref="E26:F26"/>
    <mergeCell ref="I26:J26"/>
    <mergeCell ref="K26:L26"/>
    <mergeCell ref="O26:Q26"/>
    <mergeCell ref="S26:T26"/>
    <mergeCell ref="W26:X26"/>
    <mergeCell ref="Y26:Z26"/>
    <mergeCell ref="E27:F27"/>
    <mergeCell ref="G27:H27"/>
    <mergeCell ref="I27:J27"/>
    <mergeCell ref="K27:L27"/>
    <mergeCell ref="S27:T27"/>
    <mergeCell ref="U27:V27"/>
    <mergeCell ref="W27:X27"/>
    <mergeCell ref="Y27:Z27"/>
    <mergeCell ref="D2:D4"/>
    <mergeCell ref="D27:D28"/>
    <mergeCell ref="R2:R4"/>
    <mergeCell ref="R27:R28"/>
    <mergeCell ref="A2:C4"/>
    <mergeCell ref="A9:B18"/>
    <mergeCell ref="O9:P18"/>
    <mergeCell ref="A20:B22"/>
    <mergeCell ref="O20:P22"/>
    <mergeCell ref="A23:B25"/>
    <mergeCell ref="O23:P25"/>
    <mergeCell ref="A29:B35"/>
    <mergeCell ref="O29:P35"/>
    <mergeCell ref="O2:Q4"/>
  </mergeCells>
  <pageMargins left="0.75" right="0.75" top="1" bottom="1" header="0.5" footer="0.5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I51" sqref="I51"/>
    </sheetView>
  </sheetViews>
  <sheetFormatPr defaultColWidth="9" defaultRowHeight="13.5"/>
  <cols>
    <col min="5" max="5" width="15.625" customWidth="1"/>
    <col min="7" max="7" width="15.25" customWidth="1"/>
    <col min="9" max="9" width="13.625" customWidth="1"/>
  </cols>
  <sheetData>
    <row r="1" ht="22.5" spans="1:12">
      <c r="A1" s="1" t="s">
        <v>187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6.5" spans="1:12">
      <c r="A2" s="2" t="s">
        <v>1</v>
      </c>
      <c r="B2" s="2"/>
      <c r="C2" s="2"/>
      <c r="D2" s="2" t="s">
        <v>2</v>
      </c>
      <c r="E2" s="2" t="s">
        <v>3</v>
      </c>
      <c r="F2" s="2"/>
      <c r="G2" s="2"/>
      <c r="H2" s="2"/>
      <c r="I2" s="2"/>
      <c r="J2" s="2"/>
      <c r="K2" s="2"/>
      <c r="L2" s="2"/>
    </row>
    <row r="3" ht="16.5" spans="1:12">
      <c r="A3" s="2"/>
      <c r="B3" s="2"/>
      <c r="C3" s="2"/>
      <c r="D3" s="2"/>
      <c r="E3" s="2" t="s">
        <v>88</v>
      </c>
      <c r="F3" s="2"/>
      <c r="G3" s="36" t="s">
        <v>89</v>
      </c>
      <c r="H3" s="37"/>
      <c r="I3" s="2" t="s">
        <v>90</v>
      </c>
      <c r="J3" s="2"/>
      <c r="K3" s="2" t="s">
        <v>6</v>
      </c>
      <c r="L3" s="2"/>
    </row>
    <row r="4" ht="16.5" spans="1:12">
      <c r="A4" s="2"/>
      <c r="B4" s="2"/>
      <c r="C4" s="2"/>
      <c r="D4" s="2"/>
      <c r="E4" s="2" t="s">
        <v>91</v>
      </c>
      <c r="F4" s="2" t="s">
        <v>8</v>
      </c>
      <c r="G4" s="2" t="s">
        <v>7</v>
      </c>
      <c r="H4" s="2" t="s">
        <v>8</v>
      </c>
      <c r="I4" s="2" t="s">
        <v>9</v>
      </c>
      <c r="J4" s="2" t="s">
        <v>8</v>
      </c>
      <c r="K4" s="2" t="s">
        <v>10</v>
      </c>
      <c r="L4" s="2" t="s">
        <v>11</v>
      </c>
    </row>
    <row r="5" ht="16.5" spans="1:12">
      <c r="A5" s="36" t="s">
        <v>172</v>
      </c>
      <c r="B5" s="38"/>
      <c r="C5" s="37"/>
      <c r="D5" s="39" t="s">
        <v>93</v>
      </c>
      <c r="E5" s="40"/>
      <c r="F5" s="2"/>
      <c r="G5" s="40"/>
      <c r="H5" s="41"/>
      <c r="I5" s="41"/>
      <c r="J5" s="2"/>
      <c r="K5" s="2">
        <f t="shared" ref="K5:K8" si="0">I5-G5</f>
        <v>0</v>
      </c>
      <c r="L5" s="6"/>
    </row>
    <row r="6" ht="16.5" spans="1:12">
      <c r="A6" s="36" t="s">
        <v>173</v>
      </c>
      <c r="B6" s="38"/>
      <c r="C6" s="37"/>
      <c r="D6" s="39" t="s">
        <v>95</v>
      </c>
      <c r="E6" s="40"/>
      <c r="F6" s="2"/>
      <c r="G6" s="40"/>
      <c r="H6" s="41"/>
      <c r="I6" s="41"/>
      <c r="J6" s="2"/>
      <c r="K6" s="2">
        <f t="shared" si="0"/>
        <v>0</v>
      </c>
      <c r="L6" s="6"/>
    </row>
    <row r="7" ht="16.5" spans="1:12">
      <c r="A7" s="36" t="s">
        <v>140</v>
      </c>
      <c r="B7" s="38"/>
      <c r="C7" s="37"/>
      <c r="D7" s="39" t="s">
        <v>97</v>
      </c>
      <c r="E7" s="40"/>
      <c r="F7" s="2"/>
      <c r="G7" s="40"/>
      <c r="H7" s="41"/>
      <c r="I7" s="41"/>
      <c r="J7" s="2"/>
      <c r="K7" s="2">
        <f t="shared" si="0"/>
        <v>0</v>
      </c>
      <c r="L7" s="6"/>
    </row>
    <row r="8" ht="22.5" spans="1:12">
      <c r="A8" s="42" t="s">
        <v>98</v>
      </c>
      <c r="B8" s="43"/>
      <c r="C8" s="43"/>
      <c r="D8" s="43"/>
      <c r="E8" s="44">
        <f t="shared" ref="E8:I8" si="1">SUM(E5:E7)</f>
        <v>0</v>
      </c>
      <c r="F8" s="12"/>
      <c r="G8" s="44">
        <f t="shared" si="1"/>
        <v>0</v>
      </c>
      <c r="H8" s="10"/>
      <c r="I8" s="44">
        <f t="shared" si="1"/>
        <v>0</v>
      </c>
      <c r="J8" s="12"/>
      <c r="K8" s="11">
        <f t="shared" si="0"/>
        <v>0</v>
      </c>
      <c r="L8" s="12"/>
    </row>
    <row r="9" ht="16.5" spans="1:12">
      <c r="A9" s="45" t="s">
        <v>21</v>
      </c>
      <c r="B9" s="45"/>
      <c r="C9" s="3" t="s">
        <v>22</v>
      </c>
      <c r="D9" s="39" t="s">
        <v>99</v>
      </c>
      <c r="E9" s="14"/>
      <c r="F9" s="15"/>
      <c r="G9" s="14"/>
      <c r="H9" s="46"/>
      <c r="I9" s="46"/>
      <c r="J9" s="15"/>
      <c r="K9" s="14">
        <f t="shared" ref="K9:K19" si="2">I9-E9</f>
        <v>0</v>
      </c>
      <c r="L9" s="15" t="e">
        <f t="shared" ref="L9:L19" si="3">K9/E9</f>
        <v>#DIV/0!</v>
      </c>
    </row>
    <row r="10" ht="16.5" spans="1:12">
      <c r="A10" s="45"/>
      <c r="B10" s="45"/>
      <c r="C10" s="3" t="s">
        <v>24</v>
      </c>
      <c r="D10" s="39" t="s">
        <v>100</v>
      </c>
      <c r="E10" s="14"/>
      <c r="F10" s="15"/>
      <c r="G10" s="14"/>
      <c r="H10" s="46"/>
      <c r="I10" s="46"/>
      <c r="J10" s="15"/>
      <c r="K10" s="14">
        <f t="shared" si="2"/>
        <v>0</v>
      </c>
      <c r="L10" s="15" t="e">
        <f t="shared" si="3"/>
        <v>#DIV/0!</v>
      </c>
    </row>
    <row r="11" ht="16.5" spans="1:12">
      <c r="A11" s="45"/>
      <c r="B11" s="45"/>
      <c r="C11" s="3" t="s">
        <v>26</v>
      </c>
      <c r="D11" s="39" t="s">
        <v>101</v>
      </c>
      <c r="E11" s="14"/>
      <c r="F11" s="15"/>
      <c r="G11" s="14"/>
      <c r="H11" s="46"/>
      <c r="I11" s="14"/>
      <c r="J11" s="15"/>
      <c r="K11" s="14">
        <f t="shared" si="2"/>
        <v>0</v>
      </c>
      <c r="L11" s="15" t="e">
        <f t="shared" si="3"/>
        <v>#DIV/0!</v>
      </c>
    </row>
    <row r="12" ht="16.5" spans="1:12">
      <c r="A12" s="45"/>
      <c r="B12" s="45"/>
      <c r="C12" s="3" t="s">
        <v>28</v>
      </c>
      <c r="D12" s="39" t="s">
        <v>102</v>
      </c>
      <c r="E12" s="14"/>
      <c r="F12" s="15"/>
      <c r="G12" s="14"/>
      <c r="H12" s="46"/>
      <c r="I12" s="46"/>
      <c r="J12" s="15"/>
      <c r="K12" s="14">
        <f t="shared" si="2"/>
        <v>0</v>
      </c>
      <c r="L12" s="15" t="e">
        <f t="shared" si="3"/>
        <v>#DIV/0!</v>
      </c>
    </row>
    <row r="13" ht="16.5" spans="1:12">
      <c r="A13" s="45"/>
      <c r="B13" s="45"/>
      <c r="C13" s="3" t="s">
        <v>30</v>
      </c>
      <c r="D13" s="39" t="s">
        <v>103</v>
      </c>
      <c r="E13" s="14"/>
      <c r="F13" s="15"/>
      <c r="G13" s="14"/>
      <c r="H13" s="14"/>
      <c r="I13" s="14"/>
      <c r="J13" s="15"/>
      <c r="K13" s="14">
        <f t="shared" si="2"/>
        <v>0</v>
      </c>
      <c r="L13" s="15" t="e">
        <f t="shared" si="3"/>
        <v>#DIV/0!</v>
      </c>
    </row>
    <row r="14" ht="16.5" spans="1:12">
      <c r="A14" s="45"/>
      <c r="B14" s="45"/>
      <c r="C14" s="3" t="s">
        <v>32</v>
      </c>
      <c r="D14" s="39" t="s">
        <v>104</v>
      </c>
      <c r="E14" s="14"/>
      <c r="F14" s="15"/>
      <c r="G14" s="14"/>
      <c r="H14" s="14"/>
      <c r="I14" s="14"/>
      <c r="J14" s="15"/>
      <c r="K14" s="14">
        <f t="shared" si="2"/>
        <v>0</v>
      </c>
      <c r="L14" s="15" t="e">
        <f t="shared" si="3"/>
        <v>#DIV/0!</v>
      </c>
    </row>
    <row r="15" ht="16.5" spans="1:12">
      <c r="A15" s="45"/>
      <c r="B15" s="45"/>
      <c r="C15" s="3" t="s">
        <v>34</v>
      </c>
      <c r="D15" s="39" t="s">
        <v>105</v>
      </c>
      <c r="E15" s="14"/>
      <c r="F15" s="15"/>
      <c r="G15" s="14"/>
      <c r="H15" s="14"/>
      <c r="I15" s="14"/>
      <c r="J15" s="15"/>
      <c r="K15" s="14">
        <f t="shared" si="2"/>
        <v>0</v>
      </c>
      <c r="L15" s="15" t="e">
        <f t="shared" si="3"/>
        <v>#DIV/0!</v>
      </c>
    </row>
    <row r="16" ht="16.5" spans="1:12">
      <c r="A16" s="45"/>
      <c r="B16" s="45"/>
      <c r="C16" s="47" t="s">
        <v>40</v>
      </c>
      <c r="D16" s="39" t="s">
        <v>106</v>
      </c>
      <c r="E16" s="14"/>
      <c r="F16" s="14"/>
      <c r="G16" s="14"/>
      <c r="H16" s="14"/>
      <c r="I16" s="14"/>
      <c r="J16" s="15"/>
      <c r="K16" s="14">
        <f t="shared" si="2"/>
        <v>0</v>
      </c>
      <c r="L16" s="15" t="e">
        <f t="shared" si="3"/>
        <v>#DIV/0!</v>
      </c>
    </row>
    <row r="17" ht="16.5" spans="1:12">
      <c r="A17" s="45"/>
      <c r="B17" s="45"/>
      <c r="C17" s="48" t="s">
        <v>42</v>
      </c>
      <c r="D17" s="39" t="s">
        <v>107</v>
      </c>
      <c r="E17" s="14"/>
      <c r="F17" s="14"/>
      <c r="G17" s="14"/>
      <c r="H17" s="14"/>
      <c r="I17" s="14"/>
      <c r="J17" s="15"/>
      <c r="K17" s="14">
        <f t="shared" si="2"/>
        <v>0</v>
      </c>
      <c r="L17" s="15" t="e">
        <f t="shared" si="3"/>
        <v>#DIV/0!</v>
      </c>
    </row>
    <row r="18" ht="16.5" spans="1:12">
      <c r="A18" s="45"/>
      <c r="B18" s="45"/>
      <c r="C18" s="48" t="s">
        <v>44</v>
      </c>
      <c r="D18" s="39" t="s">
        <v>108</v>
      </c>
      <c r="E18" s="14"/>
      <c r="F18" s="14"/>
      <c r="G18" s="14"/>
      <c r="H18" s="14"/>
      <c r="I18" s="14"/>
      <c r="J18" s="15"/>
      <c r="K18" s="14">
        <f t="shared" si="2"/>
        <v>0</v>
      </c>
      <c r="L18" s="15" t="e">
        <f t="shared" si="3"/>
        <v>#DIV/0!</v>
      </c>
    </row>
    <row r="19" ht="22.5" spans="1:12">
      <c r="A19" s="49" t="s">
        <v>46</v>
      </c>
      <c r="B19" s="49"/>
      <c r="C19" s="49"/>
      <c r="D19" s="50" t="s">
        <v>18</v>
      </c>
      <c r="E19" s="44">
        <f t="shared" ref="E19:I19" si="4">SUM(E9:E18)</f>
        <v>0</v>
      </c>
      <c r="F19" s="44"/>
      <c r="G19" s="51">
        <f t="shared" si="4"/>
        <v>0</v>
      </c>
      <c r="H19" s="51"/>
      <c r="I19" s="51">
        <f t="shared" si="4"/>
        <v>0</v>
      </c>
      <c r="J19" s="52"/>
      <c r="K19" s="44">
        <f t="shared" si="2"/>
        <v>0</v>
      </c>
      <c r="L19" s="52" t="e">
        <f t="shared" si="3"/>
        <v>#DIV/0!</v>
      </c>
    </row>
    <row r="20" ht="16.5" spans="1:12">
      <c r="A20" s="3" t="s">
        <v>61</v>
      </c>
      <c r="B20" s="3"/>
      <c r="C20" s="3" t="s">
        <v>62</v>
      </c>
      <c r="D20" s="39" t="s">
        <v>109</v>
      </c>
      <c r="E20" s="3">
        <v>14</v>
      </c>
      <c r="F20" s="3"/>
      <c r="G20" s="3"/>
      <c r="H20" s="3"/>
      <c r="I20" s="3">
        <v>14</v>
      </c>
      <c r="J20" s="3"/>
      <c r="K20" s="14"/>
      <c r="L20" s="14"/>
    </row>
    <row r="21" ht="16.5" spans="1:12">
      <c r="A21" s="3"/>
      <c r="B21" s="3"/>
      <c r="C21" s="3" t="s">
        <v>64</v>
      </c>
      <c r="D21" s="39" t="s">
        <v>110</v>
      </c>
      <c r="E21" s="3">
        <v>0</v>
      </c>
      <c r="F21" s="3"/>
      <c r="G21" s="3"/>
      <c r="H21" s="3"/>
      <c r="I21" s="3">
        <v>0</v>
      </c>
      <c r="J21" s="3"/>
      <c r="K21" s="14"/>
      <c r="L21" s="14"/>
    </row>
    <row r="22" ht="16.5" spans="1:12">
      <c r="A22" s="3"/>
      <c r="B22" s="3"/>
      <c r="C22" s="3" t="s">
        <v>66</v>
      </c>
      <c r="D22" s="39" t="s">
        <v>111</v>
      </c>
      <c r="E22" s="30">
        <v>14</v>
      </c>
      <c r="F22" s="30"/>
      <c r="G22" s="30"/>
      <c r="H22" s="30"/>
      <c r="I22" s="30">
        <v>14</v>
      </c>
      <c r="J22" s="30"/>
      <c r="K22" s="14"/>
      <c r="L22" s="14"/>
    </row>
    <row r="23" ht="16.5" spans="1:12">
      <c r="A23" s="3" t="s">
        <v>68</v>
      </c>
      <c r="B23" s="3"/>
      <c r="C23" s="3" t="s">
        <v>69</v>
      </c>
      <c r="D23" s="39" t="s">
        <v>112</v>
      </c>
      <c r="E23" s="30">
        <v>1904</v>
      </c>
      <c r="F23" s="30"/>
      <c r="G23" s="30"/>
      <c r="H23" s="30"/>
      <c r="I23" s="30">
        <v>1904</v>
      </c>
      <c r="J23" s="30"/>
      <c r="K23" s="14"/>
      <c r="L23" s="14"/>
    </row>
    <row r="24" ht="16.5" spans="1:12">
      <c r="A24" s="3"/>
      <c r="B24" s="3"/>
      <c r="C24" s="3" t="s">
        <v>71</v>
      </c>
      <c r="D24" s="39" t="s">
        <v>23</v>
      </c>
      <c r="E24" s="30"/>
      <c r="F24" s="30"/>
      <c r="G24" s="30"/>
      <c r="H24" s="30"/>
      <c r="I24" s="30"/>
      <c r="J24" s="30"/>
      <c r="K24" s="14"/>
      <c r="L24" s="14"/>
    </row>
    <row r="25" ht="16.5" spans="1:12">
      <c r="A25" s="3"/>
      <c r="B25" s="3"/>
      <c r="C25" s="3" t="s">
        <v>73</v>
      </c>
      <c r="D25" s="39" t="s">
        <v>113</v>
      </c>
      <c r="E25" s="30"/>
      <c r="F25" s="30"/>
      <c r="G25" s="30"/>
      <c r="H25" s="30"/>
      <c r="I25" s="30"/>
      <c r="J25" s="30"/>
      <c r="K25" s="14"/>
      <c r="L25" s="14"/>
    </row>
  </sheetData>
  <mergeCells count="34">
    <mergeCell ref="A1:L1"/>
    <mergeCell ref="E2:L2"/>
    <mergeCell ref="E3:F3"/>
    <mergeCell ref="G3:H3"/>
    <mergeCell ref="I3:J3"/>
    <mergeCell ref="K3:L3"/>
    <mergeCell ref="A5:C5"/>
    <mergeCell ref="A6:C6"/>
    <mergeCell ref="A7:C7"/>
    <mergeCell ref="A8:D8"/>
    <mergeCell ref="A19:C19"/>
    <mergeCell ref="E20:F20"/>
    <mergeCell ref="I20:J20"/>
    <mergeCell ref="K20:L20"/>
    <mergeCell ref="E21:F21"/>
    <mergeCell ref="I21:J21"/>
    <mergeCell ref="K21:L21"/>
    <mergeCell ref="E22:F22"/>
    <mergeCell ref="I22:J22"/>
    <mergeCell ref="K22:L22"/>
    <mergeCell ref="E23:F23"/>
    <mergeCell ref="I23:J23"/>
    <mergeCell ref="K23:L23"/>
    <mergeCell ref="E24:F24"/>
    <mergeCell ref="I24:J24"/>
    <mergeCell ref="K24:L24"/>
    <mergeCell ref="E25:F25"/>
    <mergeCell ref="I25:J25"/>
    <mergeCell ref="K25:L25"/>
    <mergeCell ref="D2:D4"/>
    <mergeCell ref="A2:C4"/>
    <mergeCell ref="A9:B18"/>
    <mergeCell ref="A20:B22"/>
    <mergeCell ref="A23:B25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4:J17"/>
  <sheetViews>
    <sheetView workbookViewId="0">
      <selection activeCell="H54" sqref="H54"/>
    </sheetView>
  </sheetViews>
  <sheetFormatPr defaultColWidth="9" defaultRowHeight="13.5"/>
  <sheetData>
    <row r="4" ht="14.25"/>
    <row r="5" ht="29.25" spans="6:10">
      <c r="F5" s="33" t="s">
        <v>188</v>
      </c>
      <c r="G5" s="33" t="s">
        <v>189</v>
      </c>
      <c r="H5" s="33" t="s">
        <v>190</v>
      </c>
      <c r="I5" s="33" t="s">
        <v>191</v>
      </c>
      <c r="J5" s="33" t="s">
        <v>192</v>
      </c>
    </row>
    <row r="6" ht="15" spans="6:10">
      <c r="F6" s="34">
        <v>45.1</v>
      </c>
      <c r="G6" s="34">
        <v>7.2</v>
      </c>
      <c r="H6" s="34">
        <v>14.98</v>
      </c>
      <c r="I6" s="34">
        <v>22.7</v>
      </c>
      <c r="J6" s="34">
        <v>70.03</v>
      </c>
    </row>
    <row r="7" ht="15" spans="6:10">
      <c r="F7" s="35">
        <v>43.47</v>
      </c>
      <c r="G7" s="35">
        <v>6.7</v>
      </c>
      <c r="H7" s="35">
        <v>16.37</v>
      </c>
      <c r="I7" s="35">
        <v>20.3</v>
      </c>
      <c r="J7" s="35">
        <v>62.6905</v>
      </c>
    </row>
    <row r="8" ht="15" spans="6:10">
      <c r="F8" s="34">
        <v>43.1</v>
      </c>
      <c r="G8" s="34">
        <v>7.59</v>
      </c>
      <c r="H8" s="34">
        <v>16.79</v>
      </c>
      <c r="I8" s="34">
        <v>19.03</v>
      </c>
      <c r="J8" s="34">
        <v>58.3993</v>
      </c>
    </row>
    <row r="9" ht="15" spans="6:10">
      <c r="F9" s="35">
        <v>39.67</v>
      </c>
      <c r="G9" s="35">
        <v>9.59</v>
      </c>
      <c r="H9" s="35">
        <v>7.34</v>
      </c>
      <c r="I9" s="35">
        <v>22.73</v>
      </c>
      <c r="J9" s="35">
        <v>65.7984</v>
      </c>
    </row>
    <row r="10" ht="15" spans="6:10">
      <c r="F10" s="34">
        <v>41.89</v>
      </c>
      <c r="G10" s="34">
        <v>10.72</v>
      </c>
      <c r="H10" s="34">
        <v>7.96</v>
      </c>
      <c r="I10" s="34">
        <v>23.2</v>
      </c>
      <c r="J10" s="34">
        <v>69.7211</v>
      </c>
    </row>
    <row r="11" ht="15" spans="6:10">
      <c r="F11" s="35">
        <v>39.91</v>
      </c>
      <c r="G11" s="35">
        <v>10.4</v>
      </c>
      <c r="H11" s="35">
        <v>7.56</v>
      </c>
      <c r="I11" s="35">
        <v>21.94</v>
      </c>
      <c r="J11" s="35">
        <v>67.3042</v>
      </c>
    </row>
    <row r="12" ht="15" spans="6:10">
      <c r="F12" s="34">
        <v>37.06</v>
      </c>
      <c r="G12" s="34">
        <v>12.46</v>
      </c>
      <c r="H12" s="34">
        <v>8.15</v>
      </c>
      <c r="I12" s="34">
        <v>16.42</v>
      </c>
      <c r="J12" s="34">
        <v>88.97</v>
      </c>
    </row>
    <row r="13" ht="15" spans="6:10">
      <c r="F13" s="35">
        <v>33.03</v>
      </c>
      <c r="G13" s="35">
        <v>14.66</v>
      </c>
      <c r="H13" s="35">
        <v>7.88</v>
      </c>
      <c r="I13" s="35">
        <v>10.48</v>
      </c>
      <c r="J13" s="35">
        <v>90.5</v>
      </c>
    </row>
    <row r="14" ht="15" spans="6:10">
      <c r="F14" s="34">
        <v>27.35</v>
      </c>
      <c r="G14" s="34">
        <v>11.88</v>
      </c>
      <c r="H14" s="34">
        <v>7.75</v>
      </c>
      <c r="I14" s="34">
        <v>7.71</v>
      </c>
      <c r="J14" s="34">
        <v>62.6621</v>
      </c>
    </row>
    <row r="15" ht="15" spans="6:10">
      <c r="F15" s="35">
        <v>29.14</v>
      </c>
      <c r="G15" s="35">
        <v>12.8</v>
      </c>
      <c r="H15" s="35">
        <v>8.03</v>
      </c>
      <c r="I15" s="35">
        <v>8.3</v>
      </c>
      <c r="J15" s="35">
        <v>66.7629</v>
      </c>
    </row>
    <row r="16" ht="15" spans="6:10">
      <c r="F16" s="34">
        <v>28.3557</v>
      </c>
      <c r="G16" s="34">
        <v>12.0639</v>
      </c>
      <c r="H16" s="34">
        <v>8.35</v>
      </c>
      <c r="I16" s="34">
        <v>7.9364</v>
      </c>
      <c r="J16" s="34">
        <v>52.4026</v>
      </c>
    </row>
    <row r="17" ht="15" spans="6:10">
      <c r="F17" s="35">
        <v>29.4</v>
      </c>
      <c r="G17" s="35">
        <v>12.64</v>
      </c>
      <c r="H17" s="35">
        <v>8.13</v>
      </c>
      <c r="I17" s="35">
        <v>8.62</v>
      </c>
      <c r="J17" s="35">
        <v>57.0738</v>
      </c>
    </row>
  </sheetData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M36" sqref="M36"/>
    </sheetView>
  </sheetViews>
  <sheetFormatPr defaultColWidth="9" defaultRowHeight="13.5" outlineLevelCol="7"/>
  <cols>
    <col min="5" max="5" width="26.375" customWidth="1"/>
    <col min="6" max="6" width="31.375" customWidth="1"/>
    <col min="7" max="8" width="23.625" customWidth="1"/>
  </cols>
  <sheetData>
    <row r="1" ht="22.5" spans="1:8">
      <c r="A1" s="1" t="s">
        <v>193</v>
      </c>
      <c r="B1" s="1"/>
      <c r="C1" s="1"/>
      <c r="D1" s="1"/>
      <c r="E1" s="1"/>
      <c r="F1" s="1"/>
      <c r="G1" s="1"/>
      <c r="H1" s="1"/>
    </row>
    <row r="2" ht="16.5" spans="1:8">
      <c r="A2" s="2" t="s">
        <v>1</v>
      </c>
      <c r="B2" s="2"/>
      <c r="C2" s="2"/>
      <c r="D2" s="2" t="s">
        <v>2</v>
      </c>
      <c r="E2" s="2" t="s">
        <v>3</v>
      </c>
      <c r="F2" s="2"/>
      <c r="G2" s="2"/>
      <c r="H2" s="2"/>
    </row>
    <row r="3" ht="16.5" spans="1:8">
      <c r="A3" s="2"/>
      <c r="B3" s="2"/>
      <c r="C3" s="2"/>
      <c r="D3" s="2"/>
      <c r="E3" s="2" t="s">
        <v>4</v>
      </c>
      <c r="F3" s="2" t="s">
        <v>5</v>
      </c>
      <c r="G3" s="2" t="s">
        <v>6</v>
      </c>
      <c r="H3" s="2"/>
    </row>
    <row r="4" ht="16.5" spans="1:8">
      <c r="A4" s="2"/>
      <c r="B4" s="2"/>
      <c r="C4" s="2"/>
      <c r="D4" s="2"/>
      <c r="E4" s="2" t="s">
        <v>7</v>
      </c>
      <c r="F4" s="2" t="s">
        <v>9</v>
      </c>
      <c r="G4" s="2" t="s">
        <v>10</v>
      </c>
      <c r="H4" s="2" t="s">
        <v>11</v>
      </c>
    </row>
    <row r="5" ht="16.5" spans="1:8">
      <c r="A5" s="3" t="s">
        <v>194</v>
      </c>
      <c r="B5" s="3"/>
      <c r="C5" s="3"/>
      <c r="D5" s="4"/>
      <c r="E5" s="5"/>
      <c r="F5" s="5"/>
      <c r="G5" s="2">
        <v>-17448016</v>
      </c>
      <c r="H5" s="6">
        <v>-1</v>
      </c>
    </row>
    <row r="6" ht="16.5" spans="1:8">
      <c r="A6" s="7" t="s">
        <v>195</v>
      </c>
      <c r="B6" s="8"/>
      <c r="C6" s="9"/>
      <c r="D6" s="4"/>
      <c r="E6" s="5"/>
      <c r="F6" s="5"/>
      <c r="G6" s="2">
        <v>-703154.49</v>
      </c>
      <c r="H6" s="6">
        <v>0.43947155625</v>
      </c>
    </row>
    <row r="7" ht="16.5" spans="1:8">
      <c r="A7" s="10" t="s">
        <v>14</v>
      </c>
      <c r="B7" s="10"/>
      <c r="C7" s="10"/>
      <c r="D7" s="10"/>
      <c r="E7" s="10"/>
      <c r="F7" s="10"/>
      <c r="G7" s="11"/>
      <c r="H7" s="12"/>
    </row>
    <row r="8" ht="16.5" spans="1:8">
      <c r="A8" s="3" t="s">
        <v>16</v>
      </c>
      <c r="B8" s="3"/>
      <c r="C8" s="13"/>
      <c r="D8" s="13"/>
      <c r="E8" s="13"/>
      <c r="F8" s="14"/>
      <c r="G8" s="14"/>
      <c r="H8" s="15"/>
    </row>
    <row r="9" ht="16.5" spans="1:8">
      <c r="A9" s="16" t="s">
        <v>17</v>
      </c>
      <c r="B9" s="16"/>
      <c r="C9" s="16"/>
      <c r="D9" s="4" t="s">
        <v>18</v>
      </c>
      <c r="E9" s="14"/>
      <c r="F9" s="14">
        <f ca="1">SUM(F8:G72)</f>
        <v>0</v>
      </c>
      <c r="G9" s="14">
        <f>SUM(G8:G8)</f>
        <v>0</v>
      </c>
      <c r="H9" s="15"/>
    </row>
    <row r="10" ht="16.5" spans="1:8">
      <c r="A10" s="10" t="s">
        <v>19</v>
      </c>
      <c r="B10" s="10"/>
      <c r="C10" s="10"/>
      <c r="D10" s="17" t="s">
        <v>20</v>
      </c>
      <c r="E10" s="11"/>
      <c r="F10" s="11"/>
      <c r="G10" s="11"/>
      <c r="H10" s="12"/>
    </row>
    <row r="11" ht="16.5" spans="1:8">
      <c r="A11" s="18" t="s">
        <v>21</v>
      </c>
      <c r="B11" s="18"/>
      <c r="C11" s="19" t="s">
        <v>22</v>
      </c>
      <c r="D11" s="20" t="s">
        <v>23</v>
      </c>
      <c r="E11" s="21">
        <v>2305000</v>
      </c>
      <c r="F11" s="21">
        <v>2405207.97</v>
      </c>
      <c r="G11" s="14">
        <v>100207.97</v>
      </c>
      <c r="H11" s="15">
        <v>0.0434741735357916</v>
      </c>
    </row>
    <row r="12" ht="16.5" spans="1:8">
      <c r="A12" s="18"/>
      <c r="B12" s="18"/>
      <c r="C12" s="19" t="s">
        <v>24</v>
      </c>
      <c r="D12" s="20" t="s">
        <v>25</v>
      </c>
      <c r="E12" s="21">
        <v>585000</v>
      </c>
      <c r="F12" s="21">
        <v>284712.9</v>
      </c>
      <c r="G12" s="14">
        <v>-300287.1</v>
      </c>
      <c r="H12" s="15">
        <v>-0.513311282051282</v>
      </c>
    </row>
    <row r="13" ht="16.5" spans="1:8">
      <c r="A13" s="18"/>
      <c r="B13" s="18"/>
      <c r="C13" s="19" t="s">
        <v>26</v>
      </c>
      <c r="D13" s="20" t="s">
        <v>27</v>
      </c>
      <c r="E13" s="21">
        <v>185000</v>
      </c>
      <c r="F13" s="21">
        <v>196531.68</v>
      </c>
      <c r="G13" s="14">
        <v>11531.68</v>
      </c>
      <c r="H13" s="15">
        <v>0.0623334054054054</v>
      </c>
    </row>
    <row r="14" ht="16.5" spans="1:8">
      <c r="A14" s="18"/>
      <c r="B14" s="18"/>
      <c r="C14" s="19" t="s">
        <v>28</v>
      </c>
      <c r="D14" s="20" t="s">
        <v>29</v>
      </c>
      <c r="E14" s="21">
        <v>408000</v>
      </c>
      <c r="F14" s="21">
        <v>290699</v>
      </c>
      <c r="G14" s="14">
        <v>-117301</v>
      </c>
      <c r="H14" s="15">
        <v>-0.287502450980392</v>
      </c>
    </row>
    <row r="15" ht="16.5" spans="1:8">
      <c r="A15" s="18"/>
      <c r="B15" s="18"/>
      <c r="C15" s="19" t="s">
        <v>30</v>
      </c>
      <c r="D15" s="20" t="s">
        <v>31</v>
      </c>
      <c r="E15" s="21">
        <v>1143200</v>
      </c>
      <c r="F15" s="21">
        <v>1199612.87</v>
      </c>
      <c r="G15" s="14">
        <v>56412.8700000001</v>
      </c>
      <c r="H15" s="15">
        <v>0.0493464573128063</v>
      </c>
    </row>
    <row r="16" ht="16.5" spans="1:8">
      <c r="A16" s="18"/>
      <c r="B16" s="18"/>
      <c r="C16" s="19" t="s">
        <v>32</v>
      </c>
      <c r="D16" s="20" t="s">
        <v>33</v>
      </c>
      <c r="E16" s="21">
        <v>5000</v>
      </c>
      <c r="F16" s="21">
        <v>9738.53</v>
      </c>
      <c r="G16" s="14">
        <v>4738.53</v>
      </c>
      <c r="H16" s="15">
        <v>0.947706</v>
      </c>
    </row>
    <row r="17" ht="16.5" spans="1:8">
      <c r="A17" s="18"/>
      <c r="B17" s="18"/>
      <c r="C17" s="19" t="s">
        <v>34</v>
      </c>
      <c r="D17" s="20" t="s">
        <v>35</v>
      </c>
      <c r="E17" s="21">
        <v>0</v>
      </c>
      <c r="F17" s="21">
        <v>4800</v>
      </c>
      <c r="G17" s="14">
        <v>4800</v>
      </c>
      <c r="H17" s="15" t="e">
        <v>#DIV/0!</v>
      </c>
    </row>
    <row r="18" ht="16.5" spans="1:8">
      <c r="A18" s="18"/>
      <c r="B18" s="18"/>
      <c r="C18" s="19" t="s">
        <v>36</v>
      </c>
      <c r="D18" s="20" t="s">
        <v>37</v>
      </c>
      <c r="E18" s="21">
        <v>0</v>
      </c>
      <c r="F18" s="21">
        <v>0</v>
      </c>
      <c r="G18" s="14" t="e">
        <v>#REF!</v>
      </c>
      <c r="H18" s="15" t="e">
        <v>#REF!</v>
      </c>
    </row>
    <row r="19" ht="16.5" spans="1:8">
      <c r="A19" s="18"/>
      <c r="B19" s="18"/>
      <c r="C19" s="22" t="s">
        <v>38</v>
      </c>
      <c r="D19" s="20" t="s">
        <v>39</v>
      </c>
      <c r="E19" s="21">
        <v>0</v>
      </c>
      <c r="F19" s="21">
        <v>0</v>
      </c>
      <c r="G19" s="14">
        <v>0</v>
      </c>
      <c r="H19" s="15" t="e">
        <v>#DIV/0!</v>
      </c>
    </row>
    <row r="20" ht="16.5" spans="1:8">
      <c r="A20" s="18"/>
      <c r="B20" s="18"/>
      <c r="C20" s="22" t="s">
        <v>40</v>
      </c>
      <c r="D20" s="20" t="s">
        <v>41</v>
      </c>
      <c r="E20" s="21">
        <v>4000</v>
      </c>
      <c r="F20" s="21">
        <v>4000</v>
      </c>
      <c r="G20" s="14">
        <v>0</v>
      </c>
      <c r="H20" s="15">
        <v>0</v>
      </c>
    </row>
    <row r="21" ht="16.5" spans="1:8">
      <c r="A21" s="18"/>
      <c r="B21" s="18"/>
      <c r="C21" s="19" t="s">
        <v>42</v>
      </c>
      <c r="D21" s="20" t="s">
        <v>43</v>
      </c>
      <c r="E21" s="21">
        <v>0</v>
      </c>
      <c r="F21" s="21">
        <v>1300</v>
      </c>
      <c r="G21" s="14">
        <v>1300</v>
      </c>
      <c r="H21" s="15" t="e">
        <v>#DIV/0!</v>
      </c>
    </row>
    <row r="22" ht="16.5" spans="1:8">
      <c r="A22" s="18"/>
      <c r="B22" s="18"/>
      <c r="C22" s="19" t="s">
        <v>44</v>
      </c>
      <c r="D22" s="20" t="s">
        <v>45</v>
      </c>
      <c r="E22" s="21">
        <v>3860</v>
      </c>
      <c r="F22" s="21">
        <v>3860</v>
      </c>
      <c r="G22" s="14">
        <v>0</v>
      </c>
      <c r="H22" s="15">
        <v>0</v>
      </c>
    </row>
    <row r="23" ht="20.25" spans="1:8">
      <c r="A23" s="23" t="s">
        <v>46</v>
      </c>
      <c r="B23" s="23"/>
      <c r="C23" s="23"/>
      <c r="D23" s="20" t="s">
        <v>47</v>
      </c>
      <c r="E23" s="24">
        <f>SUM(E11:E22)</f>
        <v>4639060</v>
      </c>
      <c r="F23" s="24">
        <f>SUM(F11:F22)</f>
        <v>4400462.95</v>
      </c>
      <c r="G23" s="25">
        <f t="shared" ref="G20:G24" si="0">F23-E23</f>
        <v>-238597.05</v>
      </c>
      <c r="H23" s="26">
        <f>G23/E23</f>
        <v>-0.0514321974710394</v>
      </c>
    </row>
    <row r="24" ht="16.5" spans="1:8">
      <c r="A24" s="16" t="s">
        <v>48</v>
      </c>
      <c r="B24" s="16"/>
      <c r="C24" s="16"/>
      <c r="D24" s="4"/>
      <c r="E24" s="14">
        <f>E23/243</f>
        <v>19090.7818930041</v>
      </c>
      <c r="F24" s="27">
        <f>F23/243</f>
        <v>18108.9010288066</v>
      </c>
      <c r="G24" s="14">
        <f t="shared" si="0"/>
        <v>-981.88086419753</v>
      </c>
      <c r="H24" s="15">
        <f>G24/E24</f>
        <v>-0.0514321974710394</v>
      </c>
    </row>
    <row r="25" ht="16.5" spans="1:8">
      <c r="A25" s="10" t="s">
        <v>49</v>
      </c>
      <c r="B25" s="10"/>
      <c r="C25" s="10"/>
      <c r="D25" s="17" t="s">
        <v>50</v>
      </c>
      <c r="E25" s="11"/>
      <c r="F25" s="11"/>
      <c r="G25" s="11"/>
      <c r="H25" s="12"/>
    </row>
    <row r="26" ht="16.5" spans="1:8">
      <c r="A26" s="3" t="s">
        <v>51</v>
      </c>
      <c r="B26" s="3"/>
      <c r="C26" s="3" t="s">
        <v>52</v>
      </c>
      <c r="D26" s="4" t="s">
        <v>53</v>
      </c>
      <c r="E26" s="3"/>
      <c r="F26" s="3"/>
      <c r="G26" s="14"/>
      <c r="H26" s="15"/>
    </row>
    <row r="27" ht="16.5" spans="1:8">
      <c r="A27" s="3" t="s">
        <v>54</v>
      </c>
      <c r="B27" s="3"/>
      <c r="C27" s="3"/>
      <c r="D27" s="4" t="s">
        <v>55</v>
      </c>
      <c r="E27" s="3"/>
      <c r="F27" s="3"/>
      <c r="G27" s="14"/>
      <c r="H27" s="15"/>
    </row>
    <row r="28" ht="16.5" spans="1:8">
      <c r="A28" s="3" t="s">
        <v>56</v>
      </c>
      <c r="B28" s="3"/>
      <c r="C28" s="3"/>
      <c r="D28" s="4"/>
      <c r="E28" s="14"/>
      <c r="F28" s="14"/>
      <c r="G28" s="14"/>
      <c r="H28" s="15"/>
    </row>
    <row r="29" ht="16.5" spans="1:8">
      <c r="A29" s="3" t="s">
        <v>57</v>
      </c>
      <c r="B29" s="3"/>
      <c r="C29" s="3"/>
      <c r="D29" s="4" t="s">
        <v>58</v>
      </c>
      <c r="E29" s="14"/>
      <c r="F29" s="14"/>
      <c r="G29" s="14"/>
      <c r="H29" s="15"/>
    </row>
    <row r="30" ht="16.5" spans="1:8">
      <c r="A30" s="28" t="s">
        <v>59</v>
      </c>
      <c r="B30" s="28"/>
      <c r="C30" s="28"/>
      <c r="D30" s="29" t="s">
        <v>60</v>
      </c>
      <c r="E30" s="11"/>
      <c r="F30" s="11"/>
      <c r="G30" s="11"/>
      <c r="H30" s="12"/>
    </row>
    <row r="31" ht="16.5" spans="1:8">
      <c r="A31" s="3" t="s">
        <v>61</v>
      </c>
      <c r="B31" s="3"/>
      <c r="C31" s="3" t="s">
        <v>62</v>
      </c>
      <c r="D31" s="4" t="s">
        <v>63</v>
      </c>
      <c r="E31" s="3"/>
      <c r="F31" s="3"/>
      <c r="G31" s="14"/>
      <c r="H31" s="14"/>
    </row>
    <row r="32" ht="16.5" spans="1:8">
      <c r="A32" s="3"/>
      <c r="B32" s="3"/>
      <c r="C32" s="3" t="s">
        <v>64</v>
      </c>
      <c r="D32" s="4" t="s">
        <v>65</v>
      </c>
      <c r="E32" s="3"/>
      <c r="F32" s="3"/>
      <c r="G32" s="14"/>
      <c r="H32" s="14"/>
    </row>
    <row r="33" ht="16.5" spans="1:8">
      <c r="A33" s="3"/>
      <c r="B33" s="3"/>
      <c r="C33" s="3" t="s">
        <v>66</v>
      </c>
      <c r="D33" s="4" t="s">
        <v>67</v>
      </c>
      <c r="E33" s="30"/>
      <c r="F33" s="30"/>
      <c r="G33" s="14"/>
      <c r="H33" s="14"/>
    </row>
    <row r="34" ht="16.5" spans="1:8">
      <c r="A34" s="3" t="s">
        <v>68</v>
      </c>
      <c r="B34" s="3"/>
      <c r="C34" s="3" t="s">
        <v>69</v>
      </c>
      <c r="D34" s="4" t="s">
        <v>70</v>
      </c>
      <c r="E34" s="30"/>
      <c r="F34" s="30"/>
      <c r="G34" s="14"/>
      <c r="H34" s="14"/>
    </row>
    <row r="35" ht="16.5" spans="1:8">
      <c r="A35" s="3"/>
      <c r="B35" s="3"/>
      <c r="C35" s="3" t="s">
        <v>71</v>
      </c>
      <c r="D35" s="4" t="s">
        <v>72</v>
      </c>
      <c r="E35" s="30"/>
      <c r="F35" s="30"/>
      <c r="G35" s="14"/>
      <c r="H35" s="14"/>
    </row>
    <row r="36" ht="16.5" spans="1:8">
      <c r="A36" s="3"/>
      <c r="B36" s="3"/>
      <c r="C36" s="3" t="s">
        <v>73</v>
      </c>
      <c r="D36" s="4" t="s">
        <v>74</v>
      </c>
      <c r="E36" s="30"/>
      <c r="F36" s="30"/>
      <c r="G36" s="14"/>
      <c r="H36" s="14"/>
    </row>
    <row r="37" ht="16.5" spans="1:8">
      <c r="A37" s="3" t="s">
        <v>75</v>
      </c>
      <c r="B37" s="3"/>
      <c r="C37" s="3"/>
      <c r="D37" s="4" t="s">
        <v>76</v>
      </c>
      <c r="E37" s="31"/>
      <c r="F37" s="31"/>
      <c r="G37" s="31"/>
      <c r="H37" s="31"/>
    </row>
    <row r="38" ht="16.5" spans="1:8">
      <c r="A38" s="10" t="s">
        <v>77</v>
      </c>
      <c r="B38" s="10"/>
      <c r="C38" s="10"/>
      <c r="D38" s="29" t="s">
        <v>78</v>
      </c>
      <c r="E38" s="32"/>
      <c r="F38" s="11"/>
      <c r="G38" s="32"/>
      <c r="H38" s="32"/>
    </row>
    <row r="39" ht="16.5" spans="1:8">
      <c r="A39" s="3" t="s">
        <v>79</v>
      </c>
      <c r="B39" s="3"/>
      <c r="C39" s="3"/>
      <c r="D39" s="3"/>
      <c r="E39" s="3"/>
      <c r="F39" s="3"/>
      <c r="G39" s="3"/>
      <c r="H39" s="3"/>
    </row>
    <row r="40" ht="16.5" spans="1:8">
      <c r="A40" s="2" t="s">
        <v>80</v>
      </c>
      <c r="B40" s="2"/>
      <c r="C40" s="2"/>
      <c r="D40" s="2"/>
      <c r="E40" s="14"/>
      <c r="F40" s="14"/>
      <c r="G40" s="14"/>
      <c r="H40" s="14"/>
    </row>
    <row r="41" ht="16.5" spans="1:8">
      <c r="A41" s="2" t="s">
        <v>81</v>
      </c>
      <c r="B41" s="2"/>
      <c r="C41" s="2"/>
      <c r="D41" s="2"/>
      <c r="E41" s="15"/>
      <c r="F41" s="15"/>
      <c r="G41" s="14"/>
      <c r="H41" s="14"/>
    </row>
    <row r="42" ht="16.5" spans="1:8">
      <c r="A42" s="2" t="s">
        <v>82</v>
      </c>
      <c r="B42" s="2"/>
      <c r="C42" s="2"/>
      <c r="D42" s="2"/>
      <c r="E42" s="3"/>
      <c r="F42" s="3"/>
      <c r="G42" s="14"/>
      <c r="H42" s="14"/>
    </row>
  </sheetData>
  <mergeCells count="39">
    <mergeCell ref="A1:H1"/>
    <mergeCell ref="E2:H2"/>
    <mergeCell ref="G3:H3"/>
    <mergeCell ref="A5:C5"/>
    <mergeCell ref="A6:C6"/>
    <mergeCell ref="A7:D7"/>
    <mergeCell ref="A8:B8"/>
    <mergeCell ref="A9:C9"/>
    <mergeCell ref="A10:C10"/>
    <mergeCell ref="A23:C23"/>
    <mergeCell ref="A24:C24"/>
    <mergeCell ref="A25:C25"/>
    <mergeCell ref="A26:B26"/>
    <mergeCell ref="A27:C27"/>
    <mergeCell ref="A28:C28"/>
    <mergeCell ref="A29:C29"/>
    <mergeCell ref="A30:C30"/>
    <mergeCell ref="G31:H31"/>
    <mergeCell ref="G32:H32"/>
    <mergeCell ref="G33:H33"/>
    <mergeCell ref="G34:H34"/>
    <mergeCell ref="G35:H35"/>
    <mergeCell ref="G36:H36"/>
    <mergeCell ref="A37:C37"/>
    <mergeCell ref="G37:H37"/>
    <mergeCell ref="A38:C38"/>
    <mergeCell ref="G38:H38"/>
    <mergeCell ref="A39:H39"/>
    <mergeCell ref="A40:D40"/>
    <mergeCell ref="G40:H40"/>
    <mergeCell ref="A41:D41"/>
    <mergeCell ref="G41:H41"/>
    <mergeCell ref="A42:D42"/>
    <mergeCell ref="G42:H42"/>
    <mergeCell ref="D2:D4"/>
    <mergeCell ref="A2:C4"/>
    <mergeCell ref="A31:B33"/>
    <mergeCell ref="A34:B36"/>
    <mergeCell ref="A11:B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2025年7月份核算表</vt:lpstr>
      <vt:lpstr>2025年8月份核算表</vt:lpstr>
      <vt:lpstr>2025年9月份核算表</vt:lpstr>
      <vt:lpstr>10月核算表</vt:lpstr>
      <vt:lpstr>11月核算表</vt:lpstr>
      <vt:lpstr>12月核算表</vt:lpstr>
      <vt:lpstr>1-11月核算表汇总</vt:lpstr>
      <vt:lpstr>收入和费用</vt:lpstr>
      <vt:lpstr>2026年1月核算</vt:lpstr>
      <vt:lpstr>2026年2月核算</vt:lpstr>
      <vt:lpstr>2026年3月核算</vt:lpstr>
      <vt:lpstr>2026年4月核算</vt:lpstr>
      <vt:lpstr>2026年1-12月核算</vt:lpstr>
      <vt:lpstr>Sheet1</vt:lpstr>
      <vt:lpstr>2025年1-8月份核算汇总表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苏建坤</dc:creator>
  <cp:lastModifiedBy>苏建坤</cp:lastModifiedBy>
  <dcterms:created xsi:type="dcterms:W3CDTF">2025-08-31T06:06:00Z</dcterms:created>
  <dcterms:modified xsi:type="dcterms:W3CDTF">2026-04-07T10:40:33Z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FE47627525C94AB3957F4B7CB638B45C_13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