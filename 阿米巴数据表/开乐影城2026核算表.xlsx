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1月核算表" sheetId="1" r:id="rId1"/>
    <sheet name="2月核算表" sheetId="3" r:id="rId2"/>
    <sheet name="3月核算表 " sheetId="4" r:id="rId3"/>
    <sheet name="4月核算表 " sheetId="5" r:id="rId4"/>
    <sheet name="5月核算表 " sheetId="6" r:id="rId5"/>
    <sheet name="6月核算表" sheetId="7" r:id="rId6"/>
    <sheet name="7月核算表 " sheetId="8" r:id="rId7"/>
    <sheet name="8月核算表" sheetId="9" r:id="rId8"/>
    <sheet name="9月核算表" sheetId="10" r:id="rId9"/>
    <sheet name="10月核算表 " sheetId="11" r:id="rId10"/>
    <sheet name="11月核算表" sheetId="12" r:id="rId11"/>
    <sheet name="12月核算表 " sheetId="13" r:id="rId12"/>
    <sheet name="推移表" sheetId="2" r:id="rId13"/>
    <sheet name="Sheet1"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2.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3.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4.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5.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6.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7.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8.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9.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10.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11.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12.xml><?xml version="1.0" encoding="utf-8"?>
<comments xmlns="http://schemas.openxmlformats.org/spreadsheetml/2006/main">
  <authors>
    <author>王建华</author>
    <author>Admin</author>
    <author>pc</author>
    <author>lenovo</author>
  </authors>
  <commentList>
    <comment ref="E2" authorId="0">
      <text>
        <r>
          <rPr>
            <sz val="9"/>
            <rFont val="宋体"/>
            <charset val="134"/>
          </rPr>
          <t>去年年底制定年度计划时就已经分解的新一年的每个月的月度分解目标。</t>
        </r>
      </text>
    </comment>
    <comment ref="F2" authorId="1">
      <text>
        <r>
          <rPr>
            <sz val="9"/>
            <rFont val="宋体"/>
            <charset val="134"/>
          </rPr>
          <t>左侧金额/总销售额（A5行）*100%</t>
        </r>
      </text>
    </comment>
    <comment ref="G2" authorId="0">
      <text>
        <r>
          <rPr>
            <sz val="9"/>
            <rFont val="宋体"/>
            <charset val="134"/>
          </rPr>
          <t>到了这个月来临前，根据当前的形势和情况，针对F列的当月目标进行调整得到的目标数据。</t>
        </r>
      </text>
    </comment>
    <comment ref="H2" authorId="1">
      <text>
        <r>
          <rPr>
            <sz val="9"/>
            <rFont val="宋体"/>
            <charset val="134"/>
          </rPr>
          <t>左侧金额/总销售额（A5行）*100%</t>
        </r>
      </text>
    </comment>
    <comment ref="I2" authorId="0">
      <text>
        <r>
          <rPr>
            <sz val="9"/>
            <rFont val="宋体"/>
            <charset val="134"/>
          </rPr>
          <t>这个月努力的结果。</t>
        </r>
      </text>
    </comment>
    <comment ref="J2" authorId="1">
      <text>
        <r>
          <rPr>
            <sz val="9"/>
            <rFont val="宋体"/>
            <charset val="134"/>
          </rPr>
          <t>左侧金额/总销售额（A5行）*100%</t>
        </r>
      </text>
    </comment>
    <comment ref="K2" authorId="0">
      <text>
        <r>
          <rPr>
            <sz val="9"/>
            <rFont val="宋体"/>
            <charset val="134"/>
          </rPr>
          <t>月度实绩—月度预定的差额。</t>
        </r>
      </text>
    </comment>
    <comment ref="L2" authorId="0">
      <text>
        <r>
          <rPr>
            <sz val="9"/>
            <rFont val="宋体"/>
            <charset val="134"/>
          </rPr>
          <t>月度实绩/月度预定*100%</t>
        </r>
      </text>
    </comment>
    <comment ref="M2" authorId="0">
      <text>
        <r>
          <rPr>
            <sz val="9"/>
            <rFont val="宋体"/>
            <charset val="134"/>
          </rPr>
          <t>月度实绩/年度计划当月目标*100%</t>
        </r>
      </text>
    </comment>
    <comment ref="C7" authorId="2">
      <text>
        <r>
          <rPr>
            <b/>
            <sz val="9"/>
            <rFont val="宋体"/>
            <charset val="134"/>
          </rPr>
          <t>pc:</t>
        </r>
        <r>
          <rPr>
            <sz val="9"/>
            <rFont val="宋体"/>
            <charset val="134"/>
          </rPr>
          <t xml:space="preserve">
含税</t>
        </r>
      </text>
    </comment>
    <comment ref="C15" authorId="3">
      <text>
        <r>
          <rPr>
            <b/>
            <sz val="9"/>
            <rFont val="宋体"/>
            <charset val="134"/>
          </rPr>
          <t>lenovo:</t>
        </r>
        <r>
          <rPr>
            <sz val="9"/>
            <rFont val="宋体"/>
            <charset val="134"/>
          </rPr>
          <t xml:space="preserve">
水电费、空调费</t>
        </r>
      </text>
    </comment>
    <comment ref="C20" authorId="0">
      <text>
        <r>
          <rPr>
            <sz val="9"/>
            <rFont val="宋体"/>
            <charset val="134"/>
          </rPr>
          <t>1、结算收益代表公司产生的附加价值，只不过不包含人工费；
2、结算收益＞人工费代表不亏钱。</t>
        </r>
      </text>
    </comment>
    <comment ref="C22" authorId="0">
      <text>
        <r>
          <rPr>
            <sz val="9"/>
            <rFont val="宋体"/>
            <charset val="134"/>
          </rPr>
          <t>总时间=正常出勤时间+加班时间，请假、休假应当扣除不计入出勤时间。</t>
        </r>
      </text>
    </comment>
    <comment ref="C23" authorId="0">
      <text>
        <r>
          <rPr>
            <sz val="9"/>
            <rFont val="宋体"/>
            <charset val="134"/>
          </rPr>
          <t>1、单位时间附加值=结算收益/总时间；
2、代表每小时创造的附加价值。</t>
        </r>
      </text>
    </comment>
    <comment ref="C24" authorId="0">
      <text>
        <r>
          <rPr>
            <sz val="9"/>
            <rFont val="宋体"/>
            <charset val="134"/>
          </rPr>
          <t>1、人数=月初公司人员数或（月初+月底之和/2)；一旦选择了某种人数确认方式，则每个月的标准要一致，不能变；
2、控制人数对提升单位时间附加值很重要。</t>
        </r>
      </text>
    </comment>
    <comment ref="A27" authorId="0">
      <text>
        <r>
          <rPr>
            <sz val="9"/>
            <rFont val="宋体"/>
            <charset val="134"/>
          </rPr>
          <t xml:space="preserve">1、栏外部分为企业个性化数据，每家企业根据自己的情况以及经营者关注的点不同，可以自行添加或者修改；
</t>
        </r>
      </text>
    </comment>
  </commentList>
</comments>
</file>

<file path=xl/comments13.xml><?xml version="1.0" encoding="utf-8"?>
<comments xmlns="http://schemas.openxmlformats.org/spreadsheetml/2006/main">
  <authors>
    <author>王建华</author>
    <author>Administrator</author>
    <author>Admin</author>
    <author>lenovo</author>
  </authors>
  <commentList>
    <comment ref="E3" authorId="0">
      <text>
        <r>
          <rPr>
            <sz val="9"/>
            <rFont val="宋体"/>
            <charset val="134"/>
          </rPr>
          <t>去年年底制定的全年计划。</t>
        </r>
      </text>
    </comment>
    <comment ref="F3" authorId="1">
      <text>
        <r>
          <rPr>
            <b/>
            <sz val="9"/>
            <rFont val="宋体"/>
            <charset val="134"/>
          </rPr>
          <t>Administrator:</t>
        </r>
        <r>
          <rPr>
            <sz val="9"/>
            <rFont val="宋体"/>
            <charset val="134"/>
          </rPr>
          <t xml:space="preserve">
截止到当月累计完成数</t>
        </r>
      </text>
    </comment>
    <comment ref="G3" authorId="1">
      <text>
        <r>
          <rPr>
            <b/>
            <sz val="9"/>
            <rFont val="宋体"/>
            <charset val="134"/>
          </rPr>
          <t>Administrator:</t>
        </r>
        <r>
          <rPr>
            <sz val="9"/>
            <rFont val="宋体"/>
            <charset val="134"/>
          </rPr>
          <t xml:space="preserve">
实际数/计划数</t>
        </r>
      </text>
    </comment>
    <comment ref="H3" authorId="0">
      <text>
        <r>
          <rPr>
            <sz val="9"/>
            <rFont val="宋体"/>
            <charset val="134"/>
          </rPr>
          <t>这个月努力的结果。</t>
        </r>
      </text>
    </comment>
    <comment ref="I3" authorId="0">
      <text>
        <r>
          <rPr>
            <sz val="9"/>
            <rFont val="宋体"/>
            <charset val="134"/>
          </rPr>
          <t>这个月努力的结果。</t>
        </r>
      </text>
    </comment>
    <comment ref="J3" authorId="0">
      <text>
        <r>
          <rPr>
            <sz val="9"/>
            <rFont val="宋体"/>
            <charset val="134"/>
          </rPr>
          <t>这个月努力的结果。</t>
        </r>
      </text>
    </comment>
    <comment ref="K3" authorId="2">
      <text>
        <r>
          <rPr>
            <sz val="9"/>
            <rFont val="宋体"/>
            <charset val="134"/>
          </rPr>
          <t>左侧金额/总销售额（A行）*100%</t>
        </r>
      </text>
    </comment>
    <comment ref="M3" authorId="0">
      <text>
        <r>
          <rPr>
            <sz val="9"/>
            <rFont val="宋体"/>
            <charset val="134"/>
          </rPr>
          <t>月度实绩/月度预定*100%</t>
        </r>
      </text>
    </comment>
    <comment ref="N3" authorId="0">
      <text>
        <r>
          <rPr>
            <sz val="9"/>
            <rFont val="宋体"/>
            <charset val="134"/>
          </rPr>
          <t>月度实绩/年度计划当月目标*100%</t>
        </r>
      </text>
    </comment>
    <comment ref="C9" authorId="0">
      <text>
        <r>
          <rPr>
            <sz val="9"/>
            <rFont val="宋体"/>
            <charset val="134"/>
          </rPr>
          <t>1、费用的计入标准：即买即全额计入是个基本原则，但也要考虑特殊情况。（比如一次性采购可以为生产带来成本的降低或者紧俏物资必须大批量采购，类似这些可以做按月分摊，需要打报告做计划，说明为什么会一次性采购）；
2、科目尽量细化，不能用销售费用、管理费用、财务费用大的科目出表，但也不拘泥于非得到三级甚至四级科目，基本原则是围绕简单易懂，能让现场人员和经营者看到后容易参与改善；
3、费用的排序以每一项占总销售额的比值由高到底排序。</t>
        </r>
      </text>
    </comment>
    <comment ref="C15" authorId="3">
      <text>
        <r>
          <rPr>
            <b/>
            <sz val="9"/>
            <rFont val="宋体"/>
            <charset val="134"/>
          </rPr>
          <t>lenovo:</t>
        </r>
        <r>
          <rPr>
            <sz val="9"/>
            <rFont val="宋体"/>
            <charset val="134"/>
          </rPr>
          <t xml:space="preserve">
水电费、空调费</t>
        </r>
      </text>
    </comment>
    <comment ref="C19" authorId="0">
      <text>
        <r>
          <rPr>
            <sz val="9"/>
            <rFont val="宋体"/>
            <charset val="134"/>
          </rPr>
          <t>1、结算收益代表公司产生的附加价值，只不过不包含人工费；
2、结算收益＞人工费代表不亏钱。</t>
        </r>
      </text>
    </comment>
    <comment ref="C20" authorId="0">
      <text>
        <r>
          <rPr>
            <sz val="9"/>
            <rFont val="宋体"/>
            <charset val="134"/>
          </rPr>
          <t>总时间=正常出勤时间+加班时间，请假、休假应当扣除不计入出勤时间。</t>
        </r>
      </text>
    </comment>
    <comment ref="C24" authorId="0">
      <text>
        <r>
          <rPr>
            <sz val="9"/>
            <rFont val="宋体"/>
            <charset val="134"/>
          </rPr>
          <t>1、单位时间附加值=结算收益/总时间；
2、代表每小时创造的附加价值。</t>
        </r>
      </text>
    </comment>
    <comment ref="C25" authorId="0">
      <text>
        <r>
          <rPr>
            <sz val="9"/>
            <rFont val="宋体"/>
            <charset val="134"/>
          </rPr>
          <t>1、人数=月初公司人员数或（月初+月底之和/2)；一旦选择了某种人数确认方式，则每个月的标准要一致，不能变；
2、控制人数对提升单位时间附加值很重要。</t>
        </r>
      </text>
    </comment>
    <comment ref="C26" authorId="0">
      <text>
        <r>
          <rPr>
            <sz val="9"/>
            <rFont val="宋体"/>
            <charset val="134"/>
          </rPr>
          <t>1、人均销售额=总销售额/销售人数</t>
        </r>
      </text>
    </comment>
    <comment ref="A28" authorId="0">
      <text>
        <r>
          <rPr>
            <sz val="9"/>
            <rFont val="宋体"/>
            <charset val="134"/>
          </rPr>
          <t xml:space="preserve">1、栏外部分为企业个性化数据，每家企业根据自己的情况以及经营者关注的点不同，可以自行添加或者修改；
2、比如可以统计本月应收账款，累计应收账款、库存余额等等。
</t>
        </r>
      </text>
    </comment>
  </commentList>
</comments>
</file>

<file path=xl/sharedStrings.xml><?xml version="1.0" encoding="utf-8"?>
<sst xmlns="http://schemas.openxmlformats.org/spreadsheetml/2006/main" count="1617" uniqueCount="154">
  <si>
    <r>
      <rPr>
        <b/>
        <sz val="14"/>
        <color theme="1"/>
        <rFont val="黑体"/>
        <charset val="134"/>
      </rPr>
      <t xml:space="preserve">  </t>
    </r>
    <r>
      <rPr>
        <b/>
        <u/>
        <sz val="14"/>
        <color rgb="FF000000"/>
        <rFont val="黑体"/>
        <charset val="134"/>
      </rPr>
      <t>___开乐影城___</t>
    </r>
    <r>
      <rPr>
        <b/>
        <sz val="14"/>
        <color theme="1"/>
        <rFont val="黑体"/>
        <charset val="134"/>
      </rPr>
      <t>部门2026年1月度核算表</t>
    </r>
  </si>
  <si>
    <t>项目</t>
  </si>
  <si>
    <t>序号</t>
  </si>
  <si>
    <t>科目</t>
  </si>
  <si>
    <t>计算公式</t>
  </si>
  <si>
    <t>年度预算 
当月目标</t>
  </si>
  <si>
    <t>销售额
占比</t>
  </si>
  <si>
    <t>月度预定</t>
  </si>
  <si>
    <t>月度实绩</t>
  </si>
  <si>
    <t>预（定）实
（绩）差异额</t>
  </si>
  <si>
    <t>（实绩达成）
预定比</t>
  </si>
  <si>
    <t>（实绩达成）
年度预算比</t>
  </si>
  <si>
    <t>收入</t>
  </si>
  <si>
    <t>A1</t>
  </si>
  <si>
    <t>票房收入</t>
  </si>
  <si>
    <t>A2</t>
  </si>
  <si>
    <t>卖场收入</t>
  </si>
  <si>
    <t xml:space="preserve"> </t>
  </si>
  <si>
    <t>A3</t>
  </si>
  <si>
    <t>广告收入</t>
  </si>
  <si>
    <t>A4</t>
  </si>
  <si>
    <t>其他收入</t>
  </si>
  <si>
    <t>A</t>
  </si>
  <si>
    <t>总销售额</t>
  </si>
  <si>
    <t>A=A1+A2+A3+A4</t>
  </si>
  <si>
    <t>变动费用</t>
  </si>
  <si>
    <t>B1</t>
  </si>
  <si>
    <t>票房成本</t>
  </si>
  <si>
    <t>B2</t>
  </si>
  <si>
    <t>卖品成本</t>
  </si>
  <si>
    <t>B3</t>
  </si>
  <si>
    <t>激光费</t>
  </si>
  <si>
    <t>B4</t>
  </si>
  <si>
    <t>电影专资</t>
  </si>
  <si>
    <t>B5</t>
  </si>
  <si>
    <t>促销活动费</t>
  </si>
  <si>
    <t>B</t>
  </si>
  <si>
    <t>变动费用合计</t>
  </si>
  <si>
    <t>B=B1+B2+B3+.....+Bn</t>
  </si>
  <si>
    <t>边界利益</t>
  </si>
  <si>
    <t>C</t>
  </si>
  <si>
    <t>C=A-B</t>
  </si>
  <si>
    <t>固定费用</t>
  </si>
  <si>
    <t>D2</t>
  </si>
  <si>
    <t>能源费</t>
  </si>
  <si>
    <t>D3</t>
  </si>
  <si>
    <t>设备维护</t>
  </si>
  <si>
    <t>D4</t>
  </si>
  <si>
    <t>其它费用</t>
  </si>
  <si>
    <t>D5</t>
  </si>
  <si>
    <t>财务费用</t>
  </si>
  <si>
    <t>固定费用合计</t>
  </si>
  <si>
    <t>D</t>
  </si>
  <si>
    <t>D=D1+D2+3+.....+Dn</t>
  </si>
  <si>
    <t>附加价值部分</t>
  </si>
  <si>
    <t>E</t>
  </si>
  <si>
    <t>结算收益（总附加价值）</t>
  </si>
  <si>
    <t>E=C-D</t>
  </si>
  <si>
    <t>时间部分</t>
  </si>
  <si>
    <t>F1</t>
  </si>
  <si>
    <t>正常出勤时间</t>
  </si>
  <si>
    <t>F1=8小时*工作日数*F</t>
  </si>
  <si>
    <t>——</t>
  </si>
  <si>
    <t>F</t>
  </si>
  <si>
    <t>总时间</t>
  </si>
  <si>
    <t>F=F1+F2+F3</t>
  </si>
  <si>
    <t>单位时间附加值部分</t>
  </si>
  <si>
    <t>G</t>
  </si>
  <si>
    <t>单位时间附加价值</t>
  </si>
  <si>
    <t>G=E/F</t>
  </si>
  <si>
    <t>其他（根据自家企业特点自行添加）主要是做好余额管理</t>
  </si>
  <si>
    <t>J</t>
  </si>
  <si>
    <t>人数</t>
  </si>
  <si>
    <t>L</t>
  </si>
  <si>
    <t>人均销售额</t>
  </si>
  <si>
    <t>L=A/J</t>
  </si>
  <si>
    <t>以下为企业经营者及高管需要掌握的信息(根据企业情况而定）</t>
  </si>
  <si>
    <t>核算表栏外部分（经营者及管理层需要掌握）</t>
  </si>
  <si>
    <t>N</t>
  </si>
  <si>
    <t>人工费</t>
  </si>
  <si>
    <t>从软件直接取数或工资表+福利</t>
  </si>
  <si>
    <t>O</t>
  </si>
  <si>
    <t>税前利润</t>
  </si>
  <si>
    <t>0=E-N</t>
  </si>
  <si>
    <t>P</t>
  </si>
  <si>
    <t>税前利润率</t>
  </si>
  <si>
    <t>P=0/A *100%</t>
  </si>
  <si>
    <t>Q</t>
  </si>
  <si>
    <t>单位时间人工费</t>
  </si>
  <si>
    <t>Q=N/F</t>
  </si>
  <si>
    <r>
      <rPr>
        <b/>
        <sz val="14"/>
        <color theme="1"/>
        <rFont val="黑体"/>
        <charset val="134"/>
      </rPr>
      <t xml:space="preserve">  </t>
    </r>
    <r>
      <rPr>
        <b/>
        <u/>
        <sz val="14"/>
        <color rgb="FF000000"/>
        <rFont val="黑体"/>
        <charset val="134"/>
      </rPr>
      <t>___开乐影城___</t>
    </r>
    <r>
      <rPr>
        <b/>
        <sz val="14"/>
        <color theme="1"/>
        <rFont val="黑体"/>
        <charset val="134"/>
      </rPr>
      <t>部门2026年2月度核算表</t>
    </r>
  </si>
  <si>
    <r>
      <rPr>
        <b/>
        <sz val="14"/>
        <color theme="1"/>
        <rFont val="黑体"/>
        <charset val="134"/>
      </rPr>
      <t xml:space="preserve">  </t>
    </r>
    <r>
      <rPr>
        <b/>
        <u/>
        <sz val="14"/>
        <color rgb="FF000000"/>
        <rFont val="黑体"/>
        <charset val="134"/>
      </rPr>
      <t>___开乐影城___</t>
    </r>
    <r>
      <rPr>
        <b/>
        <sz val="14"/>
        <color theme="1"/>
        <rFont val="黑体"/>
        <charset val="134"/>
      </rPr>
      <t>部门2026年3月度核算表</t>
    </r>
  </si>
  <si>
    <r>
      <rPr>
        <b/>
        <sz val="14"/>
        <color theme="1"/>
        <rFont val="黑体"/>
        <charset val="134"/>
      </rPr>
      <t xml:space="preserve">  </t>
    </r>
    <r>
      <rPr>
        <b/>
        <u/>
        <sz val="14"/>
        <color rgb="FF000000"/>
        <rFont val="黑体"/>
        <charset val="134"/>
      </rPr>
      <t>___开乐影城___</t>
    </r>
    <r>
      <rPr>
        <b/>
        <sz val="14"/>
        <color theme="1"/>
        <rFont val="黑体"/>
        <charset val="134"/>
      </rPr>
      <t>部门2026年4月度核算表</t>
    </r>
  </si>
  <si>
    <r>
      <rPr>
        <b/>
        <sz val="14"/>
        <color theme="1"/>
        <rFont val="黑体"/>
        <charset val="134"/>
      </rPr>
      <t xml:space="preserve">  </t>
    </r>
    <r>
      <rPr>
        <b/>
        <u/>
        <sz val="14"/>
        <color rgb="FF000000"/>
        <rFont val="黑体"/>
        <charset val="134"/>
      </rPr>
      <t>___开乐影城___</t>
    </r>
    <r>
      <rPr>
        <b/>
        <sz val="14"/>
        <color theme="1"/>
        <rFont val="黑体"/>
        <charset val="134"/>
      </rPr>
      <t>部门2026年5月度核算表</t>
    </r>
  </si>
  <si>
    <r>
      <t xml:space="preserve">  </t>
    </r>
    <r>
      <rPr>
        <b/>
        <u/>
        <sz val="14"/>
        <color rgb="FF000000"/>
        <rFont val="黑体"/>
        <charset val="134"/>
      </rPr>
      <t>___开乐影城___</t>
    </r>
    <r>
      <rPr>
        <b/>
        <sz val="14"/>
        <color theme="1"/>
        <rFont val="黑体"/>
        <charset val="134"/>
      </rPr>
      <t>部门2026年6月度核算表</t>
    </r>
  </si>
  <si>
    <r>
      <t xml:space="preserve">  </t>
    </r>
    <r>
      <rPr>
        <b/>
        <u/>
        <sz val="14"/>
        <color rgb="FF000000"/>
        <rFont val="黑体"/>
        <charset val="134"/>
      </rPr>
      <t>___开乐影城___</t>
    </r>
    <r>
      <rPr>
        <b/>
        <sz val="14"/>
        <color theme="1"/>
        <rFont val="黑体"/>
        <charset val="134"/>
      </rPr>
      <t>部门2026年7月度核算表</t>
    </r>
  </si>
  <si>
    <r>
      <t xml:space="preserve">  </t>
    </r>
    <r>
      <rPr>
        <b/>
        <u/>
        <sz val="14"/>
        <color rgb="FF000000"/>
        <rFont val="黑体"/>
        <charset val="134"/>
      </rPr>
      <t>___开乐影城___</t>
    </r>
    <r>
      <rPr>
        <b/>
        <sz val="14"/>
        <color theme="1"/>
        <rFont val="黑体"/>
        <charset val="134"/>
      </rPr>
      <t>部门2026年8月度核算表</t>
    </r>
  </si>
  <si>
    <r>
      <t xml:space="preserve">  </t>
    </r>
    <r>
      <rPr>
        <b/>
        <u/>
        <sz val="14"/>
        <color rgb="FF000000"/>
        <rFont val="黑体"/>
        <charset val="134"/>
      </rPr>
      <t>___开乐影城___</t>
    </r>
    <r>
      <rPr>
        <b/>
        <sz val="14"/>
        <color theme="1"/>
        <rFont val="黑体"/>
        <charset val="134"/>
      </rPr>
      <t>部门2026年9月度核算表</t>
    </r>
  </si>
  <si>
    <r>
      <t xml:space="preserve">  </t>
    </r>
    <r>
      <rPr>
        <b/>
        <u/>
        <sz val="14"/>
        <color rgb="FF000000"/>
        <rFont val="黑体"/>
        <charset val="134"/>
      </rPr>
      <t>___开乐影城___</t>
    </r>
    <r>
      <rPr>
        <b/>
        <sz val="14"/>
        <color theme="1"/>
        <rFont val="黑体"/>
        <charset val="134"/>
      </rPr>
      <t>部门2026年10月度核算表</t>
    </r>
  </si>
  <si>
    <r>
      <t xml:space="preserve">  </t>
    </r>
    <r>
      <rPr>
        <b/>
        <u/>
        <sz val="14"/>
        <color rgb="FF000000"/>
        <rFont val="黑体"/>
        <charset val="134"/>
      </rPr>
      <t>___开乐影城___</t>
    </r>
    <r>
      <rPr>
        <b/>
        <sz val="14"/>
        <color theme="1"/>
        <rFont val="黑体"/>
        <charset val="134"/>
      </rPr>
      <t>部门2026年11月度核算表</t>
    </r>
  </si>
  <si>
    <r>
      <t xml:space="preserve">  </t>
    </r>
    <r>
      <rPr>
        <b/>
        <u/>
        <sz val="14"/>
        <color rgb="FF000000"/>
        <rFont val="黑体"/>
        <charset val="134"/>
      </rPr>
      <t>___开乐影城___</t>
    </r>
    <r>
      <rPr>
        <b/>
        <sz val="14"/>
        <color theme="1"/>
        <rFont val="黑体"/>
        <charset val="134"/>
      </rPr>
      <t>部门2026年12月度核算表</t>
    </r>
  </si>
  <si>
    <t>开乐影城部门2026年度推移表</t>
  </si>
  <si>
    <t>1月</t>
  </si>
  <si>
    <t>2月</t>
  </si>
  <si>
    <t>3月</t>
  </si>
  <si>
    <t>4月</t>
  </si>
  <si>
    <t>5月</t>
  </si>
  <si>
    <t>6月</t>
  </si>
  <si>
    <t>7月</t>
  </si>
  <si>
    <t>8月</t>
  </si>
  <si>
    <t>9月</t>
  </si>
  <si>
    <t>10月</t>
  </si>
  <si>
    <t>11月</t>
  </si>
  <si>
    <t>12月</t>
  </si>
  <si>
    <t xml:space="preserve">2026年年度预算 </t>
  </si>
  <si>
    <t>2026年年度实际累计达成</t>
  </si>
  <si>
    <t>2026年年度计划累计达成率 %</t>
  </si>
  <si>
    <t>年度预算</t>
  </si>
  <si>
    <t>预实差</t>
  </si>
  <si>
    <t>（实绩达成）
预定比率</t>
  </si>
  <si>
    <t>月度MP比</t>
  </si>
  <si>
    <t>收入部分</t>
  </si>
  <si>
    <t>直接取数</t>
  </si>
  <si>
    <t>总销售金额</t>
  </si>
  <si>
    <t>=A1+..A6</t>
  </si>
  <si>
    <t>费用部分</t>
  </si>
  <si>
    <t>总费用合计(不包含人工费)</t>
  </si>
  <si>
    <t>B1=B2+B3+.....+B69</t>
  </si>
  <si>
    <t>B6</t>
  </si>
  <si>
    <t>B7</t>
  </si>
  <si>
    <t>B8</t>
  </si>
  <si>
    <t>B9</t>
  </si>
  <si>
    <t>结算收益（附加价值）</t>
  </si>
  <si>
    <t>D=D1+D2+D3</t>
  </si>
  <si>
    <t>D1</t>
  </si>
  <si>
    <t>D1=8小时*工作日数*F</t>
  </si>
  <si>
    <t>加班时间</t>
  </si>
  <si>
    <t>分摊时间</t>
  </si>
  <si>
    <t>单位时间附加值</t>
  </si>
  <si>
    <t>E=C/D</t>
  </si>
  <si>
    <t>其他</t>
  </si>
  <si>
    <t>I</t>
  </si>
  <si>
    <t>I=A5/销售人数</t>
  </si>
  <si>
    <t>以下为表外部分</t>
  </si>
  <si>
    <t>核算表栏外部分</t>
  </si>
  <si>
    <t>K</t>
  </si>
  <si>
    <t>利润</t>
  </si>
  <si>
    <t>L=C-K</t>
  </si>
  <si>
    <t>M</t>
  </si>
  <si>
    <t>利润率</t>
  </si>
  <si>
    <t>M=L/A5 *100%</t>
  </si>
  <si>
    <t>/</t>
  </si>
  <si>
    <t>N=K/D</t>
  </si>
  <si>
    <t>当月不良库存金额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</si>
</sst>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
    <numFmt numFmtId="178" formatCode="0.00_);[Red]\(0.00\)"/>
  </numFmts>
  <fonts count="51">
    <font>
      <sz val="11"/>
      <color theme="1"/>
      <name val="宋体"/>
      <charset val="134"/>
      <scheme val="minor"/>
    </font>
    <font>
      <b/>
      <sz val="16"/>
      <color theme="1"/>
      <name val="宋体"/>
      <charset val="134"/>
    </font>
    <font>
      <sz val="20"/>
      <color theme="1"/>
      <name val="宋体"/>
      <charset val="134"/>
      <scheme val="minor"/>
    </font>
    <font>
      <b/>
      <sz val="11"/>
      <color theme="1"/>
      <name val="宋体"/>
      <charset val="134"/>
    </font>
    <font>
      <b/>
      <sz val="12"/>
      <color theme="1"/>
      <name val="宋体"/>
      <charset val="134"/>
      <scheme val="minor"/>
    </font>
    <font>
      <b/>
      <sz val="10"/>
      <name val="宋体"/>
      <charset val="134"/>
    </font>
    <font>
      <b/>
      <sz val="11"/>
      <color theme="1"/>
      <name val="黑体"/>
      <charset val="134"/>
    </font>
    <font>
      <b/>
      <sz val="10"/>
      <color theme="1"/>
      <name val="宋体"/>
      <charset val="134"/>
    </font>
    <font>
      <sz val="11"/>
      <color theme="1"/>
      <name val="宋体"/>
      <charset val="134"/>
    </font>
    <font>
      <b/>
      <sz val="11"/>
      <name val="宋体"/>
      <charset val="134"/>
    </font>
    <font>
      <sz val="10"/>
      <name val="微软雅黑"/>
      <charset val="134"/>
    </font>
    <font>
      <b/>
      <sz val="11"/>
      <name val="黑体"/>
      <charset val="134"/>
    </font>
    <font>
      <sz val="11"/>
      <name val="宋体"/>
      <charset val="134"/>
    </font>
    <font>
      <b/>
      <sz val="11"/>
      <color theme="0"/>
      <name val="宋体"/>
      <charset val="134"/>
    </font>
    <font>
      <sz val="9"/>
      <color theme="1"/>
      <name val="黑体"/>
      <charset val="134"/>
    </font>
    <font>
      <sz val="10"/>
      <color theme="1"/>
      <name val="HP Simplified Hans"/>
      <charset val="0"/>
    </font>
    <font>
      <sz val="11"/>
      <color theme="1"/>
      <name val="HP Simplified Hans"/>
      <charset val="0"/>
    </font>
    <font>
      <b/>
      <sz val="14"/>
      <color theme="1"/>
      <name val="黑体"/>
      <charset val="134"/>
    </font>
    <font>
      <b/>
      <sz val="10"/>
      <color theme="1"/>
      <name val="黑体"/>
      <charset val="134"/>
    </font>
    <font>
      <b/>
      <sz val="9"/>
      <color theme="1"/>
      <name val="黑体"/>
      <charset val="134"/>
    </font>
    <font>
      <b/>
      <sz val="8"/>
      <color theme="1"/>
      <name val="黑体"/>
      <charset val="134"/>
    </font>
    <font>
      <b/>
      <sz val="11"/>
      <color rgb="FFED0000"/>
      <name val="宋体"/>
      <charset val="134"/>
      <scheme val="minor"/>
    </font>
    <font>
      <b/>
      <sz val="10"/>
      <name val="黑体"/>
      <charset val="134"/>
    </font>
    <font>
      <b/>
      <sz val="11"/>
      <name val="宋体"/>
      <charset val="134"/>
      <scheme val="minor"/>
    </font>
    <font>
      <b/>
      <sz val="10"/>
      <color rgb="FFED0000"/>
      <name val="宋体"/>
      <charset val="134"/>
      <scheme val="minor"/>
    </font>
    <font>
      <b/>
      <sz val="10"/>
      <name val="宋体"/>
      <charset val="134"/>
      <scheme val="minor"/>
    </font>
    <font>
      <sz val="10"/>
      <color theme="1"/>
      <name val="黑体"/>
      <charset val="134"/>
    </font>
    <font>
      <sz val="10"/>
      <color theme="1"/>
      <name val="宋体"/>
      <charset val="134"/>
      <scheme val="minor"/>
    </font>
    <font>
      <b/>
      <sz val="11"/>
      <name val="HP Simplified Hans"/>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4"/>
      <color rgb="FF000000"/>
      <name val="黑体"/>
      <charset val="134"/>
    </font>
    <font>
      <sz val="9"/>
      <name val="宋体"/>
      <charset val="134"/>
    </font>
    <font>
      <b/>
      <sz val="9"/>
      <name val="宋体"/>
      <charset val="134"/>
    </font>
  </fonts>
  <fills count="3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thin">
        <color auto="1"/>
      </left>
      <right style="thin">
        <color auto="1"/>
      </right>
      <top/>
      <bottom/>
      <diagonal/>
    </border>
    <border>
      <left/>
      <right style="thin">
        <color auto="1"/>
      </right>
      <top style="medium">
        <color auto="1"/>
      </top>
      <bottom/>
      <diagonal/>
    </border>
    <border>
      <left style="thin">
        <color auto="1"/>
      </left>
      <right style="thin">
        <color auto="1"/>
      </right>
      <top style="thin">
        <color indexed="8"/>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5" borderId="15"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6" applyNumberFormat="0" applyFill="0" applyAlignment="0" applyProtection="0">
      <alignment vertical="center"/>
    </xf>
    <xf numFmtId="0" fontId="35" fillId="0" borderId="16" applyNumberFormat="0" applyFill="0" applyAlignment="0" applyProtection="0">
      <alignment vertical="center"/>
    </xf>
    <xf numFmtId="0" fontId="36" fillId="0" borderId="17" applyNumberFormat="0" applyFill="0" applyAlignment="0" applyProtection="0">
      <alignment vertical="center"/>
    </xf>
    <xf numFmtId="0" fontId="36" fillId="0" borderId="0" applyNumberFormat="0" applyFill="0" applyBorder="0" applyAlignment="0" applyProtection="0">
      <alignment vertical="center"/>
    </xf>
    <xf numFmtId="0" fontId="37" fillId="6" borderId="18" applyNumberFormat="0" applyAlignment="0" applyProtection="0">
      <alignment vertical="center"/>
    </xf>
    <xf numFmtId="0" fontId="38" fillId="7" borderId="19" applyNumberFormat="0" applyAlignment="0" applyProtection="0">
      <alignment vertical="center"/>
    </xf>
    <xf numFmtId="0" fontId="39" fillId="7" borderId="18" applyNumberFormat="0" applyAlignment="0" applyProtection="0">
      <alignment vertical="center"/>
    </xf>
    <xf numFmtId="0" fontId="40" fillId="8" borderId="20" applyNumberFormat="0" applyAlignment="0" applyProtection="0">
      <alignment vertical="center"/>
    </xf>
    <xf numFmtId="0" fontId="41" fillId="0" borderId="21" applyNumberFormat="0" applyFill="0" applyAlignment="0" applyProtection="0">
      <alignment vertical="center"/>
    </xf>
    <xf numFmtId="0" fontId="42" fillId="0" borderId="22" applyNumberFormat="0" applyFill="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4" borderId="0" applyNumberFormat="0" applyBorder="0" applyAlignment="0" applyProtection="0">
      <alignment vertical="center"/>
    </xf>
    <xf numFmtId="0" fontId="47"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43" fontId="0" fillId="0" borderId="0" applyFont="0" applyFill="0" applyBorder="0" applyAlignment="0" applyProtection="0">
      <alignment vertical="center"/>
    </xf>
    <xf numFmtId="0" fontId="12" fillId="0" borderId="0">
      <alignment vertical="center"/>
    </xf>
  </cellStyleXfs>
  <cellXfs count="174">
    <xf numFmtId="0" fontId="0" fillId="0" borderId="0" xfId="0">
      <alignment vertical="center"/>
    </xf>
    <xf numFmtId="0" fontId="0" fillId="0" borderId="0" xfId="0" applyFill="1" applyBorder="1" applyAlignment="1"/>
    <xf numFmtId="43" fontId="0" fillId="0" borderId="0" xfId="1" applyFont="1" applyAlignment="1"/>
    <xf numFmtId="0" fontId="0" fillId="0" borderId="0" xfId="0" applyFill="1" applyBorder="1" applyAlignment="1">
      <alignment horizontal="right" wrapText="1"/>
    </xf>
    <xf numFmtId="0" fontId="1" fillId="0" borderId="1" xfId="51" applyFont="1" applyFill="1" applyBorder="1" applyAlignment="1">
      <alignment horizontal="center" vertical="center"/>
    </xf>
    <xf numFmtId="0" fontId="1" fillId="0" borderId="2" xfId="51" applyFont="1" applyFill="1" applyBorder="1" applyAlignment="1">
      <alignment horizontal="center" vertical="center"/>
    </xf>
    <xf numFmtId="0" fontId="1" fillId="0" borderId="2" xfId="51" applyFont="1" applyFill="1" applyBorder="1" applyAlignment="1">
      <alignment vertical="center"/>
    </xf>
    <xf numFmtId="0" fontId="1" fillId="0" borderId="2" xfId="51" applyFont="1" applyFill="1" applyBorder="1" applyAlignment="1">
      <alignment horizontal="right" vertical="center" wrapText="1"/>
    </xf>
    <xf numFmtId="0" fontId="1" fillId="0" borderId="3" xfId="51" applyFont="1" applyFill="1" applyBorder="1" applyAlignment="1">
      <alignment vertical="center"/>
    </xf>
    <xf numFmtId="0" fontId="2" fillId="0" borderId="4" xfId="51" applyFont="1" applyFill="1" applyBorder="1" applyAlignment="1">
      <alignment horizontal="center"/>
    </xf>
    <xf numFmtId="0" fontId="3" fillId="0" borderId="4" xfId="51" applyFont="1" applyFill="1" applyBorder="1" applyAlignment="1">
      <alignment horizontal="center" vertical="center"/>
    </xf>
    <xf numFmtId="0" fontId="2" fillId="0" borderId="1" xfId="51" applyFont="1" applyFill="1" applyBorder="1" applyAlignment="1">
      <alignment horizontal="center"/>
    </xf>
    <xf numFmtId="0" fontId="2" fillId="0" borderId="2" xfId="51" applyFont="1" applyFill="1" applyBorder="1" applyAlignment="1">
      <alignment horizontal="center"/>
    </xf>
    <xf numFmtId="0" fontId="2" fillId="0" borderId="3" xfId="51" applyFont="1" applyFill="1" applyBorder="1" applyAlignment="1">
      <alignment horizontal="center"/>
    </xf>
    <xf numFmtId="0" fontId="4" fillId="0" borderId="5" xfId="51" applyFont="1" applyFill="1" applyBorder="1" applyAlignment="1">
      <alignment horizontal="center"/>
    </xf>
    <xf numFmtId="0" fontId="4" fillId="0" borderId="5" xfId="51" applyFont="1" applyFill="1" applyBorder="1" applyAlignment="1">
      <alignment horizontal="right" wrapText="1"/>
    </xf>
    <xf numFmtId="0" fontId="2" fillId="0" borderId="6" xfId="51" applyFont="1" applyFill="1" applyBorder="1" applyAlignment="1">
      <alignment horizontal="center"/>
    </xf>
    <xf numFmtId="0" fontId="3" fillId="0" borderId="6" xfId="51" applyFont="1" applyFill="1" applyBorder="1" applyAlignment="1">
      <alignment horizontal="center" vertical="center"/>
    </xf>
    <xf numFmtId="49" fontId="3" fillId="0" borderId="5" xfId="51" applyNumberFormat="1" applyFont="1" applyFill="1" applyBorder="1" applyAlignment="1">
      <alignment horizontal="center" vertical="center"/>
    </xf>
    <xf numFmtId="0" fontId="3" fillId="0" borderId="5" xfId="51" applyFont="1" applyFill="1" applyBorder="1" applyAlignment="1">
      <alignment horizontal="center" vertical="center" wrapText="1"/>
    </xf>
    <xf numFmtId="43" fontId="3" fillId="0" borderId="5" xfId="1" applyFont="1" applyFill="1" applyBorder="1" applyAlignment="1">
      <alignment horizontal="center" vertical="center" wrapText="1"/>
    </xf>
    <xf numFmtId="10" fontId="3" fillId="0" borderId="5" xfId="51" applyNumberFormat="1" applyFont="1" applyFill="1" applyBorder="1" applyAlignment="1">
      <alignment horizontal="center" vertical="center" wrapText="1"/>
    </xf>
    <xf numFmtId="0" fontId="3" fillId="0" borderId="5" xfId="51" applyFont="1" applyFill="1" applyBorder="1" applyAlignment="1">
      <alignment horizontal="center" vertical="center"/>
    </xf>
    <xf numFmtId="10" fontId="3" fillId="0" borderId="5" xfId="51" applyNumberFormat="1" applyFont="1" applyFill="1" applyBorder="1" applyAlignment="1">
      <alignment horizontal="right" vertical="center" wrapText="1"/>
    </xf>
    <xf numFmtId="0" fontId="3" fillId="0" borderId="5" xfId="51" applyFont="1" applyFill="1" applyBorder="1" applyAlignment="1">
      <alignment horizontal="right" vertical="center" wrapText="1"/>
    </xf>
    <xf numFmtId="0" fontId="3" fillId="0" borderId="5" xfId="51" applyFont="1" applyFill="1" applyBorder="1" applyAlignment="1">
      <alignment horizontal="left" vertical="center"/>
    </xf>
    <xf numFmtId="176" fontId="5" fillId="0" borderId="7" xfId="0" applyNumberFormat="1" applyFont="1" applyFill="1" applyBorder="1" applyAlignment="1">
      <alignment horizontal="left" vertical="center"/>
    </xf>
    <xf numFmtId="49" fontId="3" fillId="0" borderId="5" xfId="51" applyNumberFormat="1" applyFont="1" applyFill="1" applyBorder="1" applyAlignment="1">
      <alignment horizontal="left" vertical="center"/>
    </xf>
    <xf numFmtId="43" fontId="3" fillId="0" borderId="5" xfId="1" applyFont="1" applyFill="1" applyBorder="1" applyAlignment="1">
      <alignment horizontal="right" vertical="center" wrapText="1"/>
    </xf>
    <xf numFmtId="43" fontId="6" fillId="2" borderId="5" xfId="1" applyFont="1" applyFill="1" applyBorder="1" applyAlignment="1">
      <alignment horizontal="right" vertical="center" wrapText="1"/>
    </xf>
    <xf numFmtId="43" fontId="7" fillId="0" borderId="5" xfId="1" applyFont="1" applyFill="1" applyBorder="1" applyAlignment="1">
      <alignment horizontal="right" vertical="center" wrapText="1"/>
    </xf>
    <xf numFmtId="10" fontId="3" fillId="0" borderId="5" xfId="51" applyNumberFormat="1" applyFont="1" applyFill="1" applyBorder="1" applyAlignment="1">
      <alignment horizontal="right" vertical="center"/>
    </xf>
    <xf numFmtId="43" fontId="7" fillId="0" borderId="5" xfId="1" applyFont="1" applyFill="1" applyBorder="1" applyAlignment="1">
      <alignment horizontal="right" vertical="center"/>
    </xf>
    <xf numFmtId="43" fontId="3" fillId="0" borderId="5" xfId="1" applyFont="1" applyFill="1" applyBorder="1" applyAlignment="1">
      <alignment horizontal="right" vertical="center"/>
    </xf>
    <xf numFmtId="176" fontId="5" fillId="0" borderId="7" xfId="0" applyNumberFormat="1" applyFont="1" applyFill="1" applyBorder="1" applyAlignment="1">
      <alignment horizontal="left" vertical="top"/>
    </xf>
    <xf numFmtId="177" fontId="3" fillId="0" borderId="5" xfId="51" applyNumberFormat="1" applyFont="1" applyFill="1" applyBorder="1" applyAlignment="1">
      <alignment horizontal="right" vertical="center" wrapText="1"/>
    </xf>
    <xf numFmtId="9" fontId="3" fillId="0" borderId="5" xfId="51" applyNumberFormat="1" applyFont="1" applyFill="1" applyBorder="1" applyAlignment="1">
      <alignment horizontal="right" vertical="center" wrapText="1"/>
    </xf>
    <xf numFmtId="9" fontId="3" fillId="0" borderId="5" xfId="51" applyNumberFormat="1" applyFont="1" applyFill="1" applyBorder="1" applyAlignment="1">
      <alignment horizontal="right" vertical="center"/>
    </xf>
    <xf numFmtId="43" fontId="8" fillId="0" borderId="5" xfId="1" applyFont="1" applyFill="1" applyBorder="1" applyAlignment="1">
      <alignment horizontal="right" vertical="center" wrapText="1"/>
    </xf>
    <xf numFmtId="43" fontId="8" fillId="0" borderId="5" xfId="1" applyFont="1" applyFill="1" applyBorder="1" applyAlignment="1">
      <alignment horizontal="right" vertical="center"/>
    </xf>
    <xf numFmtId="0" fontId="9" fillId="0" borderId="5" xfId="51" applyFont="1" applyFill="1" applyBorder="1" applyAlignment="1">
      <alignment horizontal="left" vertical="center" wrapText="1"/>
    </xf>
    <xf numFmtId="49" fontId="3" fillId="0" borderId="5" xfId="52" applyNumberFormat="1" applyFont="1" applyFill="1" applyBorder="1" applyAlignment="1">
      <alignment horizontal="left" vertical="center" wrapText="1"/>
    </xf>
    <xf numFmtId="0" fontId="3" fillId="0" borderId="5" xfId="51" applyFont="1" applyFill="1" applyBorder="1" applyAlignment="1">
      <alignment horizontal="left" vertical="center" wrapText="1"/>
    </xf>
    <xf numFmtId="0" fontId="5" fillId="0" borderId="8" xfId="53" applyNumberFormat="1" applyFont="1" applyFill="1" applyBorder="1" applyAlignment="1" applyProtection="1">
      <alignment horizontal="left" vertical="center"/>
    </xf>
    <xf numFmtId="49" fontId="3" fillId="0" borderId="5" xfId="51" applyNumberFormat="1" applyFont="1" applyFill="1" applyBorder="1" applyAlignment="1">
      <alignment horizontal="left" vertical="center" wrapText="1"/>
    </xf>
    <xf numFmtId="43" fontId="3" fillId="0" borderId="5" xfId="1" applyNumberFormat="1" applyFont="1" applyFill="1" applyBorder="1" applyAlignment="1">
      <alignment horizontal="right" vertical="center" wrapText="1"/>
    </xf>
    <xf numFmtId="43" fontId="10" fillId="0" borderId="8" xfId="1" applyNumberFormat="1" applyFont="1" applyFill="1" applyBorder="1" applyAlignment="1">
      <alignment horizontal="right" vertical="center" wrapText="1"/>
    </xf>
    <xf numFmtId="43" fontId="11" fillId="2" borderId="5" xfId="1" applyFont="1" applyFill="1" applyBorder="1" applyAlignment="1">
      <alignment horizontal="right" vertical="center" wrapText="1"/>
    </xf>
    <xf numFmtId="43" fontId="0" fillId="0" borderId="5" xfId="49" applyNumberFormat="1" applyFont="1" applyFill="1" applyBorder="1" applyAlignment="1">
      <alignment horizontal="right" vertical="center" wrapText="1"/>
    </xf>
    <xf numFmtId="43" fontId="12" fillId="0" borderId="5" xfId="1" applyNumberFormat="1" applyFont="1" applyFill="1" applyBorder="1" applyAlignment="1">
      <alignment horizontal="right" vertical="center" wrapText="1"/>
    </xf>
    <xf numFmtId="43" fontId="10" fillId="0" borderId="9" xfId="53" applyNumberFormat="1" applyFont="1" applyFill="1" applyBorder="1" applyAlignment="1" applyProtection="1">
      <alignment horizontal="right" vertical="center" wrapText="1"/>
    </xf>
    <xf numFmtId="43" fontId="10" fillId="0" borderId="8" xfId="53" applyNumberFormat="1" applyFont="1" applyFill="1" applyBorder="1" applyAlignment="1" applyProtection="1">
      <alignment horizontal="right" vertical="center" wrapText="1"/>
    </xf>
    <xf numFmtId="176" fontId="5" fillId="0" borderId="3" xfId="0" applyNumberFormat="1" applyFont="1" applyFill="1" applyBorder="1" applyAlignment="1">
      <alignment horizontal="left" vertical="center"/>
    </xf>
    <xf numFmtId="43" fontId="8" fillId="0" borderId="5" xfId="1" applyNumberFormat="1" applyFont="1" applyFill="1" applyBorder="1" applyAlignment="1">
      <alignment horizontal="right" vertical="center" wrapText="1"/>
    </xf>
    <xf numFmtId="43" fontId="6" fillId="0" borderId="5" xfId="1" applyFont="1" applyFill="1" applyBorder="1" applyAlignment="1">
      <alignment horizontal="right" vertical="center" wrapText="1"/>
    </xf>
    <xf numFmtId="43" fontId="10" fillId="0" borderId="8" xfId="53" applyNumberFormat="1" applyFont="1" applyFill="1" applyBorder="1" applyAlignment="1" applyProtection="1">
      <alignment horizontal="center" vertical="center"/>
    </xf>
    <xf numFmtId="43" fontId="8" fillId="0" borderId="5" xfId="50" applyNumberFormat="1" applyFont="1" applyFill="1" applyBorder="1" applyAlignment="1">
      <alignment horizontal="right" vertical="center" wrapText="1"/>
    </xf>
    <xf numFmtId="0" fontId="9" fillId="0" borderId="4" xfId="51" applyFont="1" applyFill="1" applyBorder="1" applyAlignment="1">
      <alignment horizontal="center" vertical="center" wrapText="1"/>
    </xf>
    <xf numFmtId="49" fontId="9" fillId="0" borderId="5" xfId="52" applyNumberFormat="1" applyFont="1" applyFill="1" applyBorder="1" applyAlignment="1">
      <alignment horizontal="left" vertical="center" wrapText="1"/>
    </xf>
    <xf numFmtId="43" fontId="9" fillId="0" borderId="5" xfId="1" applyFont="1" applyFill="1" applyBorder="1" applyAlignment="1">
      <alignment horizontal="right" vertical="center" wrapText="1"/>
    </xf>
    <xf numFmtId="10" fontId="9" fillId="0" borderId="5" xfId="3" applyNumberFormat="1" applyFont="1" applyFill="1" applyBorder="1" applyAlignment="1">
      <alignment horizontal="right" vertical="center" wrapText="1"/>
    </xf>
    <xf numFmtId="10" fontId="9" fillId="0" borderId="5" xfId="51" applyNumberFormat="1" applyFont="1" applyFill="1" applyBorder="1" applyAlignment="1">
      <alignment horizontal="right" vertical="center" wrapText="1"/>
    </xf>
    <xf numFmtId="43" fontId="9" fillId="0" borderId="5" xfId="51" applyNumberFormat="1" applyFont="1" applyFill="1" applyBorder="1" applyAlignment="1">
      <alignment horizontal="right" vertical="center" wrapText="1"/>
    </xf>
    <xf numFmtId="9" fontId="9" fillId="0" borderId="5" xfId="51" applyNumberFormat="1" applyFont="1" applyFill="1" applyBorder="1" applyAlignment="1">
      <alignment horizontal="right" vertical="center" wrapText="1"/>
    </xf>
    <xf numFmtId="0" fontId="9" fillId="0" borderId="10" xfId="51" applyFont="1" applyFill="1" applyBorder="1" applyAlignment="1">
      <alignment horizontal="center" vertical="center" wrapText="1"/>
    </xf>
    <xf numFmtId="49" fontId="9" fillId="0" borderId="5" xfId="51" applyNumberFormat="1" applyFont="1" applyFill="1" applyBorder="1" applyAlignment="1">
      <alignment horizontal="left" vertical="center" wrapText="1"/>
    </xf>
    <xf numFmtId="0" fontId="9" fillId="0" borderId="6" xfId="51" applyFont="1" applyFill="1" applyBorder="1" applyAlignment="1">
      <alignment horizontal="center" vertical="center" wrapText="1"/>
    </xf>
    <xf numFmtId="43" fontId="9" fillId="0" borderId="5" xfId="52" applyFont="1" applyFill="1" applyBorder="1" applyAlignment="1">
      <alignment horizontal="right" vertical="center" wrapText="1"/>
    </xf>
    <xf numFmtId="178" fontId="3" fillId="0" borderId="5" xfId="52" applyNumberFormat="1" applyFont="1" applyFill="1" applyBorder="1" applyAlignment="1">
      <alignment horizontal="right" vertical="center" wrapText="1"/>
    </xf>
    <xf numFmtId="43" fontId="3" fillId="0" borderId="5" xfId="52" applyFont="1" applyFill="1" applyBorder="1" applyAlignment="1">
      <alignment horizontal="right" vertical="center" wrapText="1"/>
    </xf>
    <xf numFmtId="178" fontId="3" fillId="0" borderId="5" xfId="3" applyNumberFormat="1" applyFont="1" applyFill="1" applyBorder="1" applyAlignment="1">
      <alignment horizontal="right" vertical="center" wrapText="1"/>
    </xf>
    <xf numFmtId="178" fontId="3" fillId="0" borderId="5" xfId="1" applyNumberFormat="1" applyFont="1" applyFill="1" applyBorder="1" applyAlignment="1">
      <alignment horizontal="right" vertical="center" wrapText="1"/>
    </xf>
    <xf numFmtId="176" fontId="3" fillId="0" borderId="5" xfId="52" applyNumberFormat="1" applyFont="1" applyFill="1" applyBorder="1" applyAlignment="1">
      <alignment horizontal="right" vertical="center" wrapText="1"/>
    </xf>
    <xf numFmtId="0" fontId="3" fillId="0" borderId="5" xfId="52" applyNumberFormat="1" applyFont="1" applyFill="1" applyBorder="1" applyAlignment="1">
      <alignment horizontal="right" vertical="center" wrapText="1"/>
    </xf>
    <xf numFmtId="43" fontId="3" fillId="0" borderId="5" xfId="52" applyNumberFormat="1" applyFont="1" applyFill="1" applyBorder="1" applyAlignment="1">
      <alignment horizontal="right" vertical="center" wrapText="1"/>
    </xf>
    <xf numFmtId="0" fontId="13" fillId="0" borderId="5" xfId="51" applyFont="1" applyFill="1" applyBorder="1" applyAlignment="1">
      <alignment horizontal="center" vertical="center" wrapText="1"/>
    </xf>
    <xf numFmtId="176" fontId="13" fillId="0" borderId="5" xfId="51" applyNumberFormat="1" applyFont="1" applyFill="1" applyBorder="1" applyAlignment="1">
      <alignment horizontal="center" vertical="center" wrapText="1"/>
    </xf>
    <xf numFmtId="10" fontId="13" fillId="0" borderId="5" xfId="51" applyNumberFormat="1" applyFont="1" applyFill="1" applyBorder="1" applyAlignment="1">
      <alignment horizontal="center" vertical="center" wrapText="1"/>
    </xf>
    <xf numFmtId="10" fontId="13" fillId="0" borderId="5" xfId="51" applyNumberFormat="1" applyFont="1" applyFill="1" applyBorder="1" applyAlignment="1">
      <alignment horizontal="right" vertical="center" wrapText="1"/>
    </xf>
    <xf numFmtId="0" fontId="13" fillId="0" borderId="5" xfId="51" applyFont="1" applyFill="1" applyBorder="1" applyAlignment="1">
      <alignment horizontal="right" vertical="center" wrapText="1"/>
    </xf>
    <xf numFmtId="43" fontId="3" fillId="0" borderId="5" xfId="51" applyNumberFormat="1" applyFont="1" applyFill="1" applyBorder="1" applyAlignment="1">
      <alignment horizontal="right" vertical="center" wrapText="1"/>
    </xf>
    <xf numFmtId="43" fontId="9" fillId="0" borderId="5" xfId="1" applyNumberFormat="1" applyFont="1" applyFill="1" applyBorder="1" applyAlignment="1">
      <alignment horizontal="right" vertical="center" wrapText="1"/>
    </xf>
    <xf numFmtId="43" fontId="9" fillId="0" borderId="5" xfId="1" applyFont="1" applyFill="1" applyBorder="1" applyAlignment="1">
      <alignment horizontal="center" vertical="center" wrapText="1"/>
    </xf>
    <xf numFmtId="10" fontId="3" fillId="0" borderId="5" xfId="1" applyNumberFormat="1" applyFont="1" applyFill="1" applyBorder="1" applyAlignment="1">
      <alignment horizontal="right" vertical="center" wrapText="1"/>
    </xf>
    <xf numFmtId="10" fontId="3" fillId="0" borderId="5" xfId="1" applyNumberFormat="1" applyFont="1" applyFill="1" applyBorder="1" applyAlignment="1">
      <alignment horizontal="right" vertical="center"/>
    </xf>
    <xf numFmtId="10" fontId="3" fillId="0" borderId="5" xfId="3" applyNumberFormat="1" applyFont="1" applyFill="1" applyBorder="1" applyAlignment="1">
      <alignment horizontal="right" vertical="center"/>
    </xf>
    <xf numFmtId="10" fontId="3" fillId="0" borderId="5" xfId="3" applyNumberFormat="1" applyFont="1" applyFill="1" applyBorder="1" applyAlignment="1">
      <alignment horizontal="right" vertical="center" wrapText="1"/>
    </xf>
    <xf numFmtId="178" fontId="3" fillId="0" borderId="5" xfId="51" applyNumberFormat="1" applyFont="1" applyFill="1" applyBorder="1" applyAlignment="1">
      <alignment horizontal="right" vertical="center" wrapText="1"/>
    </xf>
    <xf numFmtId="178" fontId="3" fillId="0" borderId="5" xfId="3" applyNumberFormat="1" applyFont="1" applyFill="1" applyBorder="1" applyAlignment="1" applyProtection="1">
      <alignment horizontal="right" vertical="center" wrapText="1"/>
    </xf>
    <xf numFmtId="178" fontId="3" fillId="0" borderId="5" xfId="51" applyNumberFormat="1" applyFont="1" applyFill="1" applyBorder="1" applyAlignment="1">
      <alignment horizontal="right" vertical="center"/>
    </xf>
    <xf numFmtId="43" fontId="3" fillId="0" borderId="5" xfId="52" applyFont="1" applyFill="1" applyBorder="1" applyAlignment="1">
      <alignment horizontal="center" vertical="center" wrapText="1"/>
    </xf>
    <xf numFmtId="43" fontId="3" fillId="0" borderId="5" xfId="1" applyFont="1" applyFill="1" applyBorder="1" applyAlignment="1">
      <alignment horizontal="center" vertical="center"/>
    </xf>
    <xf numFmtId="10" fontId="3" fillId="0" borderId="5" xfId="51" applyNumberFormat="1" applyFont="1" applyFill="1" applyBorder="1" applyAlignment="1">
      <alignment horizontal="center" vertical="center"/>
    </xf>
    <xf numFmtId="9" fontId="3" fillId="0" borderId="5" xfId="51" applyNumberFormat="1" applyFont="1" applyFill="1" applyBorder="1" applyAlignment="1">
      <alignment horizontal="center" vertical="center"/>
    </xf>
    <xf numFmtId="0" fontId="8" fillId="0" borderId="5" xfId="51" applyFont="1" applyFill="1" applyBorder="1" applyAlignment="1">
      <alignment horizontal="left"/>
    </xf>
    <xf numFmtId="0" fontId="8" fillId="0" borderId="5" xfId="51" applyFont="1" applyFill="1" applyBorder="1" applyAlignment="1">
      <alignment horizontal="left" vertical="center"/>
    </xf>
    <xf numFmtId="0" fontId="8" fillId="0" borderId="5" xfId="51" applyFont="1" applyFill="1" applyBorder="1" applyAlignment="1"/>
    <xf numFmtId="49" fontId="8" fillId="0" borderId="5" xfId="51" applyNumberFormat="1" applyFont="1" applyFill="1" applyBorder="1" applyAlignment="1"/>
    <xf numFmtId="0" fontId="8" fillId="0" borderId="5" xfId="51" applyFont="1" applyFill="1" applyBorder="1" applyAlignment="1">
      <alignment horizontal="center"/>
    </xf>
    <xf numFmtId="43" fontId="8" fillId="0" borderId="5" xfId="1" applyFont="1" applyFill="1" applyBorder="1" applyAlignment="1">
      <alignment horizontal="center"/>
    </xf>
    <xf numFmtId="10" fontId="8" fillId="0" borderId="5" xfId="51" applyNumberFormat="1" applyFont="1" applyFill="1" applyBorder="1" applyAlignment="1">
      <alignment horizontal="center"/>
    </xf>
    <xf numFmtId="10" fontId="8" fillId="0" borderId="5" xfId="51" applyNumberFormat="1" applyFont="1" applyFill="1" applyBorder="1" applyAlignment="1">
      <alignment horizontal="right" wrapText="1"/>
    </xf>
    <xf numFmtId="0" fontId="8" fillId="0" borderId="5" xfId="51" applyFont="1" applyFill="1" applyBorder="1" applyAlignment="1">
      <alignment horizontal="right" wrapText="1"/>
    </xf>
    <xf numFmtId="0" fontId="0" fillId="0" borderId="0" xfId="51" applyAlignment="1">
      <alignment vertical="center"/>
    </xf>
    <xf numFmtId="0" fontId="0" fillId="0" borderId="0" xfId="51"/>
    <xf numFmtId="0" fontId="14" fillId="0" borderId="0" xfId="51" applyFont="1" applyAlignment="1">
      <alignment horizontal="center"/>
    </xf>
    <xf numFmtId="0" fontId="0" fillId="0" borderId="0" xfId="51" applyAlignment="1">
      <alignment horizontal="left" vertical="center"/>
    </xf>
    <xf numFmtId="0" fontId="15" fillId="0" borderId="0" xfId="51" applyFont="1"/>
    <xf numFmtId="49" fontId="16" fillId="0" borderId="0" xfId="51" applyNumberFormat="1" applyFont="1"/>
    <xf numFmtId="0" fontId="16" fillId="0" borderId="0" xfId="51" applyFont="1"/>
    <xf numFmtId="0" fontId="17" fillId="0" borderId="0" xfId="51" applyFont="1" applyAlignment="1">
      <alignment horizontal="center" vertical="center"/>
    </xf>
    <xf numFmtId="0" fontId="18" fillId="0" borderId="0" xfId="51" applyFont="1" applyAlignment="1">
      <alignment horizontal="center" vertical="center"/>
    </xf>
    <xf numFmtId="0" fontId="19" fillId="0" borderId="5" xfId="51" applyFont="1" applyBorder="1" applyAlignment="1">
      <alignment horizontal="center" vertical="center"/>
    </xf>
    <xf numFmtId="0" fontId="19" fillId="2" borderId="11" xfId="51" applyFont="1" applyFill="1" applyBorder="1" applyAlignment="1">
      <alignment horizontal="center" vertical="center"/>
    </xf>
    <xf numFmtId="0" fontId="18" fillId="2" borderId="12" xfId="51" applyFont="1" applyFill="1" applyBorder="1" applyAlignment="1">
      <alignment horizontal="center" vertical="center"/>
    </xf>
    <xf numFmtId="49" fontId="19" fillId="2" borderId="13" xfId="51" applyNumberFormat="1" applyFont="1" applyFill="1" applyBorder="1" applyAlignment="1">
      <alignment horizontal="center" vertical="center"/>
    </xf>
    <xf numFmtId="0" fontId="20" fillId="2" borderId="13" xfId="51" applyFont="1" applyFill="1" applyBorder="1" applyAlignment="1">
      <alignment horizontal="center" vertical="center" wrapText="1"/>
    </xf>
    <xf numFmtId="0" fontId="19" fillId="2" borderId="13" xfId="51" applyFont="1" applyFill="1" applyBorder="1" applyAlignment="1">
      <alignment horizontal="center" vertical="center" wrapText="1"/>
    </xf>
    <xf numFmtId="0" fontId="19" fillId="3" borderId="13" xfId="51" applyFont="1" applyFill="1" applyBorder="1" applyAlignment="1">
      <alignment horizontal="center" vertical="center"/>
    </xf>
    <xf numFmtId="0" fontId="19" fillId="2" borderId="13" xfId="51" applyFont="1" applyFill="1" applyBorder="1" applyAlignment="1">
      <alignment horizontal="center" vertical="center"/>
    </xf>
    <xf numFmtId="0" fontId="19" fillId="3" borderId="13" xfId="51" applyFont="1" applyFill="1" applyBorder="1" applyAlignment="1">
      <alignment horizontal="center" vertical="center" wrapText="1"/>
    </xf>
    <xf numFmtId="0" fontId="19" fillId="3" borderId="14" xfId="51" applyFont="1" applyFill="1" applyBorder="1" applyAlignment="1">
      <alignment horizontal="center" vertical="center" wrapText="1"/>
    </xf>
    <xf numFmtId="0" fontId="19" fillId="0" borderId="10" xfId="51" applyFont="1" applyBorder="1" applyAlignment="1">
      <alignment horizontal="center" vertical="center" wrapText="1"/>
    </xf>
    <xf numFmtId="0" fontId="18" fillId="2" borderId="5" xfId="51" applyFont="1" applyFill="1" applyBorder="1" applyAlignment="1">
      <alignment horizontal="left" vertical="center" wrapText="1"/>
    </xf>
    <xf numFmtId="176" fontId="5" fillId="0" borderId="7" xfId="0" applyNumberFormat="1" applyFont="1" applyFill="1" applyBorder="1" applyAlignment="1">
      <alignment horizontal="left" vertical="center" wrapText="1"/>
    </xf>
    <xf numFmtId="49" fontId="18" fillId="2" borderId="5" xfId="51" applyNumberFormat="1" applyFont="1" applyFill="1" applyBorder="1" applyAlignment="1">
      <alignment horizontal="left" vertical="center" wrapText="1"/>
    </xf>
    <xf numFmtId="10" fontId="6" fillId="2" borderId="5" xfId="52" applyNumberFormat="1" applyFont="1" applyFill="1" applyBorder="1" applyAlignment="1">
      <alignment horizontal="right" vertical="center" wrapText="1"/>
    </xf>
    <xf numFmtId="10" fontId="6" fillId="2" borderId="5" xfId="51" applyNumberFormat="1" applyFont="1" applyFill="1" applyBorder="1" applyAlignment="1">
      <alignment horizontal="right" vertical="center" wrapText="1"/>
    </xf>
    <xf numFmtId="176" fontId="5" fillId="0" borderId="7" xfId="0" applyNumberFormat="1" applyFont="1" applyFill="1" applyBorder="1" applyAlignment="1">
      <alignment horizontal="left" vertical="top" wrapText="1"/>
    </xf>
    <xf numFmtId="0" fontId="19" fillId="0" borderId="6" xfId="51" applyFont="1" applyBorder="1" applyAlignment="1">
      <alignment horizontal="center" vertical="center" wrapText="1"/>
    </xf>
    <xf numFmtId="0" fontId="19" fillId="4" borderId="5" xfId="51" applyFont="1" applyFill="1" applyBorder="1" applyAlignment="1">
      <alignment vertical="center" wrapText="1"/>
    </xf>
    <xf numFmtId="0" fontId="18" fillId="4" borderId="5" xfId="51" applyFont="1" applyFill="1" applyBorder="1" applyAlignment="1">
      <alignment horizontal="left" vertical="center" wrapText="1"/>
    </xf>
    <xf numFmtId="49" fontId="18" fillId="4" borderId="5" xfId="52" applyNumberFormat="1" applyFont="1" applyFill="1" applyBorder="1" applyAlignment="1">
      <alignment horizontal="left" vertical="center" wrapText="1"/>
    </xf>
    <xf numFmtId="43" fontId="6" fillId="4" borderId="5" xfId="1" applyFont="1" applyFill="1" applyBorder="1" applyAlignment="1">
      <alignment horizontal="right" vertical="center" wrapText="1"/>
    </xf>
    <xf numFmtId="10" fontId="6" fillId="4" borderId="5" xfId="52" applyNumberFormat="1" applyFont="1" applyFill="1" applyBorder="1" applyAlignment="1">
      <alignment horizontal="right" vertical="center" wrapText="1"/>
    </xf>
    <xf numFmtId="10" fontId="6" fillId="4" borderId="5" xfId="51" applyNumberFormat="1" applyFont="1" applyFill="1" applyBorder="1" applyAlignment="1">
      <alignment horizontal="right" vertical="center" wrapText="1"/>
    </xf>
    <xf numFmtId="0" fontId="19" fillId="0" borderId="5" xfId="51" applyFont="1" applyBorder="1" applyAlignment="1">
      <alignment horizontal="center" vertical="center" wrapText="1"/>
    </xf>
    <xf numFmtId="0" fontId="18" fillId="2" borderId="3" xfId="51" applyFont="1" applyFill="1" applyBorder="1" applyAlignment="1">
      <alignment horizontal="left" vertical="center" wrapText="1"/>
    </xf>
    <xf numFmtId="0" fontId="5" fillId="0" borderId="8" xfId="53" applyNumberFormat="1" applyFont="1" applyFill="1" applyBorder="1" applyAlignment="1" applyProtection="1">
      <alignment horizontal="left" vertical="center" wrapText="1"/>
    </xf>
    <xf numFmtId="0" fontId="21" fillId="0" borderId="5" xfId="51" applyFont="1" applyBorder="1" applyAlignment="1">
      <alignment vertical="center" wrapText="1"/>
    </xf>
    <xf numFmtId="10" fontId="11" fillId="2" borderId="5" xfId="52" applyNumberFormat="1" applyFont="1" applyFill="1" applyBorder="1" applyAlignment="1">
      <alignment horizontal="right" vertical="center" wrapText="1"/>
    </xf>
    <xf numFmtId="10" fontId="11" fillId="2" borderId="5" xfId="51" applyNumberFormat="1" applyFont="1" applyFill="1" applyBorder="1" applyAlignment="1">
      <alignment horizontal="right" vertical="center" wrapText="1"/>
    </xf>
    <xf numFmtId="0" fontId="22" fillId="0" borderId="3" xfId="51" applyFont="1" applyBorder="1" applyAlignment="1">
      <alignment horizontal="left" vertical="center" wrapText="1"/>
    </xf>
    <xf numFmtId="49" fontId="18" fillId="2" borderId="5" xfId="52" applyNumberFormat="1" applyFont="1" applyFill="1" applyBorder="1" applyAlignment="1">
      <alignment horizontal="left" vertical="center" wrapText="1"/>
    </xf>
    <xf numFmtId="43" fontId="23" fillId="0" borderId="5" xfId="1" applyFont="1" applyBorder="1" applyAlignment="1">
      <alignment horizontal="right" vertical="center" wrapText="1"/>
    </xf>
    <xf numFmtId="0" fontId="19" fillId="4" borderId="5" xfId="51" applyFont="1" applyFill="1" applyBorder="1" applyAlignment="1">
      <alignment horizontal="center" vertical="center" wrapText="1"/>
    </xf>
    <xf numFmtId="0" fontId="24" fillId="4" borderId="3" xfId="51" applyFont="1" applyFill="1" applyBorder="1" applyAlignment="1">
      <alignment horizontal="center" vertical="center" wrapText="1"/>
    </xf>
    <xf numFmtId="0" fontId="25" fillId="4" borderId="5" xfId="51" applyFont="1" applyFill="1" applyBorder="1" applyAlignment="1">
      <alignment vertical="center" wrapText="1"/>
    </xf>
    <xf numFmtId="43" fontId="23" fillId="4" borderId="5" xfId="1" applyFont="1" applyFill="1" applyBorder="1" applyAlignment="1">
      <alignment horizontal="right" vertical="center" wrapText="1"/>
    </xf>
    <xf numFmtId="10" fontId="11" fillId="4" borderId="5" xfId="52" applyNumberFormat="1" applyFont="1" applyFill="1" applyBorder="1" applyAlignment="1">
      <alignment horizontal="right" vertical="center" wrapText="1"/>
    </xf>
    <xf numFmtId="176" fontId="5" fillId="0" borderId="3" xfId="0" applyNumberFormat="1" applyFont="1" applyFill="1" applyBorder="1" applyAlignment="1">
      <alignment horizontal="left" vertical="center" wrapText="1"/>
    </xf>
    <xf numFmtId="0" fontId="22" fillId="4" borderId="5" xfId="51" applyFont="1" applyFill="1" applyBorder="1" applyAlignment="1">
      <alignment horizontal="left" vertical="center" wrapText="1"/>
    </xf>
    <xf numFmtId="0" fontId="19" fillId="4" borderId="5" xfId="51" applyFont="1" applyFill="1" applyBorder="1" applyAlignment="1">
      <alignment horizontal="left" vertical="center" wrapText="1"/>
    </xf>
    <xf numFmtId="0" fontId="6" fillId="4" borderId="5" xfId="52" applyNumberFormat="1" applyFont="1" applyFill="1" applyBorder="1" applyAlignment="1">
      <alignment horizontal="right" vertical="center" wrapText="1"/>
    </xf>
    <xf numFmtId="0" fontId="6" fillId="4" borderId="5" xfId="51" applyFont="1" applyFill="1" applyBorder="1" applyAlignment="1">
      <alignment horizontal="right" vertical="center" wrapText="1"/>
    </xf>
    <xf numFmtId="0" fontId="19" fillId="4" borderId="4" xfId="51" applyFont="1" applyFill="1" applyBorder="1" applyAlignment="1">
      <alignment horizontal="center" vertical="center" wrapText="1"/>
    </xf>
    <xf numFmtId="43" fontId="6" fillId="4" borderId="5" xfId="52" applyFont="1" applyFill="1" applyBorder="1" applyAlignment="1">
      <alignment horizontal="right" vertical="center" wrapText="1"/>
    </xf>
    <xf numFmtId="49" fontId="19" fillId="2" borderId="5" xfId="51" applyNumberFormat="1" applyFont="1" applyFill="1" applyBorder="1" applyAlignment="1">
      <alignment horizontal="left" vertical="center" wrapText="1"/>
    </xf>
    <xf numFmtId="43" fontId="6" fillId="2" borderId="5" xfId="52" applyFont="1" applyFill="1" applyBorder="1" applyAlignment="1">
      <alignment horizontal="right" vertical="center" wrapText="1"/>
    </xf>
    <xf numFmtId="0" fontId="6" fillId="2" borderId="5" xfId="51" applyFont="1" applyFill="1" applyBorder="1" applyAlignment="1">
      <alignment horizontal="right" vertical="center" wrapText="1"/>
    </xf>
    <xf numFmtId="0" fontId="0" fillId="4" borderId="5" xfId="51" applyFill="1" applyBorder="1" applyAlignment="1">
      <alignment horizontal="right" vertical="center" wrapText="1"/>
    </xf>
    <xf numFmtId="0" fontId="26" fillId="2" borderId="5" xfId="51" applyFont="1" applyFill="1" applyBorder="1" applyAlignment="1">
      <alignment horizontal="left" vertical="center" wrapText="1"/>
    </xf>
    <xf numFmtId="0" fontId="22" fillId="2" borderId="5" xfId="0" applyFont="1" applyFill="1" applyBorder="1" applyAlignment="1">
      <alignment horizontal="left" vertical="center" wrapText="1"/>
    </xf>
    <xf numFmtId="0" fontId="22" fillId="2" borderId="5" xfId="0" applyFont="1" applyFill="1" applyBorder="1" applyAlignment="1">
      <alignment horizontal="center" vertical="center" wrapText="1"/>
    </xf>
    <xf numFmtId="0" fontId="18" fillId="0" borderId="5" xfId="51" applyFont="1" applyBorder="1" applyAlignment="1">
      <alignment horizontal="center" vertical="center" wrapText="1"/>
    </xf>
    <xf numFmtId="0" fontId="22" fillId="2" borderId="5" xfId="51" applyFont="1" applyFill="1" applyBorder="1" applyAlignment="1">
      <alignment horizontal="left" vertical="center" wrapText="1"/>
    </xf>
    <xf numFmtId="43" fontId="6" fillId="2" borderId="5" xfId="51" applyNumberFormat="1" applyFont="1" applyFill="1" applyBorder="1" applyAlignment="1">
      <alignment horizontal="right" vertical="center" wrapText="1"/>
    </xf>
    <xf numFmtId="0" fontId="11" fillId="2" borderId="5" xfId="0" applyFont="1" applyFill="1" applyBorder="1" applyAlignment="1">
      <alignment horizontal="left" vertical="center" wrapText="1"/>
    </xf>
    <xf numFmtId="10" fontId="6" fillId="2" borderId="5" xfId="3" applyNumberFormat="1" applyFont="1" applyFill="1" applyBorder="1" applyAlignment="1">
      <alignment horizontal="right" vertical="center" wrapText="1"/>
    </xf>
    <xf numFmtId="43" fontId="6" fillId="2" borderId="5" xfId="52" applyFont="1" applyFill="1" applyBorder="1" applyAlignment="1">
      <alignment horizontal="right" vertical="top" wrapText="1"/>
    </xf>
    <xf numFmtId="0" fontId="19" fillId="0" borderId="0" xfId="51" applyFont="1" applyAlignment="1">
      <alignment horizontal="center" vertical="center" wrapText="1"/>
    </xf>
    <xf numFmtId="0" fontId="27" fillId="0" borderId="0" xfId="51" applyFont="1"/>
    <xf numFmtId="0" fontId="28" fillId="2" borderId="0" xfId="51" applyFont="1" applyFill="1"/>
    <xf numFmtId="0" fontId="23" fillId="2" borderId="0" xfId="51" applyFont="1" applyFill="1"/>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0" xfId="49"/>
    <cellStyle name="千位分隔 11" xfId="50"/>
    <cellStyle name="常规 2" xfId="51"/>
    <cellStyle name="千位分隔 2" xfId="52"/>
    <cellStyle name="常规_3月"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I28" sqref="I2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5.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0</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480000</v>
      </c>
      <c r="F3" s="126">
        <f t="shared" ref="F3:F6" si="0">E3/$E$7</f>
        <v>0.847397782642469</v>
      </c>
      <c r="G3" s="33">
        <v>480000</v>
      </c>
      <c r="H3" s="127">
        <f t="shared" ref="H3:H6" si="1">G3/$G$7</f>
        <v>0.847397782642469</v>
      </c>
      <c r="I3" s="29">
        <v>375775</v>
      </c>
      <c r="J3" s="127">
        <f t="shared" ref="J3:J6" si="2">I3/$I$7</f>
        <v>0.835882689339413</v>
      </c>
      <c r="K3" s="29">
        <f t="shared" ref="K3:K22" si="3">I3-G3</f>
        <v>-104225</v>
      </c>
      <c r="L3" s="127">
        <f t="shared" ref="L3:L25" si="4">I3/G3</f>
        <v>0.782864583333333</v>
      </c>
      <c r="M3" s="127">
        <f t="shared" ref="M3:M25" si="5">I3/E3</f>
        <v>0.782864583333333</v>
      </c>
    </row>
    <row r="4" s="103" customFormat="1" ht="18" customHeight="1" spans="1:18">
      <c r="A4" s="122"/>
      <c r="B4" s="123" t="s">
        <v>15</v>
      </c>
      <c r="C4" s="128" t="s">
        <v>16</v>
      </c>
      <c r="D4" s="125"/>
      <c r="E4" s="33">
        <v>37440</v>
      </c>
      <c r="F4" s="126">
        <f t="shared" si="0"/>
        <v>0.0660970270461126</v>
      </c>
      <c r="G4" s="33">
        <v>37440</v>
      </c>
      <c r="H4" s="127">
        <f t="shared" si="1"/>
        <v>0.0660970270461126</v>
      </c>
      <c r="I4" s="29">
        <v>35144</v>
      </c>
      <c r="J4" s="127">
        <f t="shared" si="2"/>
        <v>0.0781751346793809</v>
      </c>
      <c r="K4" s="29">
        <f t="shared" si="3"/>
        <v>-2296</v>
      </c>
      <c r="L4" s="127">
        <f t="shared" si="4"/>
        <v>0.938675213675214</v>
      </c>
      <c r="M4" s="127">
        <f t="shared" si="5"/>
        <v>0.938675213675214</v>
      </c>
      <c r="O4" s="103" t="s">
        <v>17</v>
      </c>
    </row>
    <row r="5" s="103" customFormat="1" ht="18" customHeight="1" spans="1:18">
      <c r="A5" s="122"/>
      <c r="B5" s="123" t="s">
        <v>18</v>
      </c>
      <c r="C5" s="128" t="s">
        <v>19</v>
      </c>
      <c r="D5" s="125"/>
      <c r="E5" s="33">
        <v>5000</v>
      </c>
      <c r="F5" s="126">
        <f t="shared" si="0"/>
        <v>0.00882706023585905</v>
      </c>
      <c r="G5" s="33">
        <v>5000</v>
      </c>
      <c r="H5" s="127">
        <f t="shared" si="1"/>
        <v>0.00882706023585905</v>
      </c>
      <c r="I5" s="29">
        <v>0</v>
      </c>
      <c r="J5" s="127">
        <f t="shared" si="2"/>
        <v>0</v>
      </c>
      <c r="K5" s="29">
        <f t="shared" si="3"/>
        <v>-5000</v>
      </c>
      <c r="L5" s="127">
        <f t="shared" si="4"/>
        <v>0</v>
      </c>
      <c r="M5" s="127">
        <f t="shared" si="5"/>
        <v>0</v>
      </c>
    </row>
    <row r="6" s="103" customFormat="1" ht="18" customHeight="1" spans="1:18">
      <c r="A6" s="129"/>
      <c r="B6" s="123" t="s">
        <v>20</v>
      </c>
      <c r="C6" s="128" t="s">
        <v>21</v>
      </c>
      <c r="D6" s="125"/>
      <c r="E6" s="33">
        <v>44000</v>
      </c>
      <c r="F6" s="126">
        <f t="shared" si="0"/>
        <v>0.0776781300755596</v>
      </c>
      <c r="G6" s="33">
        <v>44000</v>
      </c>
      <c r="H6" s="127">
        <f t="shared" si="1"/>
        <v>0.0776781300755596</v>
      </c>
      <c r="I6" s="29">
        <v>38635.71</v>
      </c>
      <c r="J6" s="127">
        <f t="shared" si="2"/>
        <v>0.0859421759812059</v>
      </c>
      <c r="K6" s="29">
        <f t="shared" si="3"/>
        <v>-5364.29</v>
      </c>
      <c r="L6" s="127">
        <f t="shared" si="4"/>
        <v>0.878084318181818</v>
      </c>
      <c r="M6" s="127">
        <f t="shared" si="5"/>
        <v>0.878084318181818</v>
      </c>
    </row>
    <row r="7" s="103" customFormat="1" ht="18" customHeight="1" spans="1:18">
      <c r="A7" s="130"/>
      <c r="B7" s="131" t="s">
        <v>22</v>
      </c>
      <c r="C7" s="131" t="s">
        <v>23</v>
      </c>
      <c r="D7" s="132" t="s">
        <v>24</v>
      </c>
      <c r="E7" s="133">
        <f t="shared" ref="E7:J7" si="6">SUM(E3:E6)</f>
        <v>566440</v>
      </c>
      <c r="F7" s="134">
        <f t="shared" si="6"/>
        <v>1</v>
      </c>
      <c r="G7" s="33">
        <f t="shared" si="6"/>
        <v>566440</v>
      </c>
      <c r="H7" s="135">
        <f t="shared" si="6"/>
        <v>1</v>
      </c>
      <c r="I7" s="33">
        <f t="shared" si="6"/>
        <v>449554.71</v>
      </c>
      <c r="J7" s="135">
        <f t="shared" si="6"/>
        <v>1</v>
      </c>
      <c r="K7" s="133">
        <f t="shared" si="3"/>
        <v>-116885.29</v>
      </c>
      <c r="L7" s="135">
        <f t="shared" si="4"/>
        <v>0.793649300896829</v>
      </c>
      <c r="M7" s="135">
        <f t="shared" si="5"/>
        <v>0.793649300896829</v>
      </c>
    </row>
    <row r="8" s="103" customFormat="1" ht="18" customHeight="1" spans="1:18">
      <c r="A8" s="136" t="s">
        <v>25</v>
      </c>
      <c r="B8" s="137" t="s">
        <v>26</v>
      </c>
      <c r="C8" s="138" t="s">
        <v>27</v>
      </c>
      <c r="D8" s="139"/>
      <c r="E8" s="48">
        <v>191548.660194175</v>
      </c>
      <c r="F8" s="140">
        <f t="shared" ref="F8:F13" si="7">E8/$E$7</f>
        <v>0.338162312326416</v>
      </c>
      <c r="G8" s="48">
        <v>191548.660194175</v>
      </c>
      <c r="H8" s="141">
        <f t="shared" ref="H8:H12" si="8">G8/$G$7</f>
        <v>0.338162312326416</v>
      </c>
      <c r="I8" s="47">
        <v>150058.42</v>
      </c>
      <c r="J8" s="127">
        <f t="shared" ref="J8:J12" si="9">I8/$I$7</f>
        <v>0.333793455306029</v>
      </c>
      <c r="K8" s="29">
        <f t="shared" si="3"/>
        <v>-41490.240194175</v>
      </c>
      <c r="L8" s="127">
        <f t="shared" si="4"/>
        <v>0.783395821447585</v>
      </c>
      <c r="M8" s="127">
        <f t="shared" si="5"/>
        <v>0.783395821447585</v>
      </c>
      <c r="Q8" s="103" t="s">
        <v>17</v>
      </c>
    </row>
    <row r="9" s="103" customFormat="1" ht="18" customHeight="1" spans="1:18">
      <c r="A9" s="136"/>
      <c r="B9" s="137" t="s">
        <v>28</v>
      </c>
      <c r="C9" s="138" t="s">
        <v>29</v>
      </c>
      <c r="D9" s="139"/>
      <c r="E9" s="48">
        <v>9360</v>
      </c>
      <c r="F9" s="140">
        <f t="shared" si="7"/>
        <v>0.0165242567615281</v>
      </c>
      <c r="G9" s="48">
        <v>9360</v>
      </c>
      <c r="H9" s="141">
        <f t="shared" si="8"/>
        <v>0.0165242567615281</v>
      </c>
      <c r="I9" s="47">
        <v>11144.35</v>
      </c>
      <c r="J9" s="127">
        <f t="shared" si="9"/>
        <v>0.0247897525086546</v>
      </c>
      <c r="K9" s="29">
        <f t="shared" si="3"/>
        <v>1784.35</v>
      </c>
      <c r="L9" s="127">
        <f t="shared" si="4"/>
        <v>1.19063568376068</v>
      </c>
      <c r="M9" s="127">
        <f t="shared" si="5"/>
        <v>1.19063568376068</v>
      </c>
    </row>
    <row r="10" s="103" customFormat="1" ht="18" customHeight="1" spans="1:18">
      <c r="A10" s="136"/>
      <c r="B10" s="137" t="s">
        <v>30</v>
      </c>
      <c r="C10" s="138" t="s">
        <v>31</v>
      </c>
      <c r="D10" s="139"/>
      <c r="E10" s="49">
        <v>30000</v>
      </c>
      <c r="F10" s="140">
        <f t="shared" si="7"/>
        <v>0.0529623614151543</v>
      </c>
      <c r="G10" s="49">
        <v>30000</v>
      </c>
      <c r="H10" s="141">
        <f t="shared" si="8"/>
        <v>0.0529623614151543</v>
      </c>
      <c r="I10" s="47">
        <v>18061.7</v>
      </c>
      <c r="J10" s="127">
        <f t="shared" si="9"/>
        <v>0.0401768674606924</v>
      </c>
      <c r="K10" s="29">
        <f t="shared" si="3"/>
        <v>-11938.3</v>
      </c>
      <c r="L10" s="127">
        <f t="shared" si="4"/>
        <v>0.602056666666667</v>
      </c>
      <c r="M10" s="127">
        <f t="shared" si="5"/>
        <v>0.602056666666667</v>
      </c>
    </row>
    <row r="11" s="103" customFormat="1" ht="18" customHeight="1" spans="1:18">
      <c r="A11" s="136"/>
      <c r="B11" s="137" t="s">
        <v>32</v>
      </c>
      <c r="C11" s="138" t="s">
        <v>33</v>
      </c>
      <c r="D11" s="139"/>
      <c r="E11" s="48">
        <v>24000</v>
      </c>
      <c r="F11" s="140">
        <f t="shared" si="7"/>
        <v>0.0423698891321234</v>
      </c>
      <c r="G11" s="48">
        <v>24000</v>
      </c>
      <c r="H11" s="141">
        <f t="shared" si="8"/>
        <v>0.0423698891321234</v>
      </c>
      <c r="I11" s="47">
        <v>18801.5</v>
      </c>
      <c r="J11" s="127">
        <f t="shared" si="9"/>
        <v>0.0418224958648526</v>
      </c>
      <c r="K11" s="29">
        <f t="shared" si="3"/>
        <v>-5198.5</v>
      </c>
      <c r="L11" s="127">
        <f t="shared" si="4"/>
        <v>0.783395833333333</v>
      </c>
      <c r="M11" s="127">
        <f t="shared" si="5"/>
        <v>0.783395833333333</v>
      </c>
      <c r="P11" s="103" t="s">
        <v>17</v>
      </c>
    </row>
    <row r="12" s="103" customFormat="1" ht="18" customHeight="1" spans="1:18">
      <c r="A12" s="136"/>
      <c r="B12" s="137" t="s">
        <v>34</v>
      </c>
      <c r="C12" s="138" t="s">
        <v>35</v>
      </c>
      <c r="D12" s="139"/>
      <c r="E12" s="28">
        <v>14000</v>
      </c>
      <c r="F12" s="140">
        <f t="shared" si="7"/>
        <v>0.0247157686604053</v>
      </c>
      <c r="G12" s="28">
        <v>14000</v>
      </c>
      <c r="H12" s="141">
        <f t="shared" si="8"/>
        <v>0.0247157686604053</v>
      </c>
      <c r="I12" s="47">
        <v>4564</v>
      </c>
      <c r="J12" s="127">
        <f t="shared" si="9"/>
        <v>0.0101522682300448</v>
      </c>
      <c r="K12" s="29">
        <f t="shared" si="3"/>
        <v>-9436</v>
      </c>
      <c r="L12" s="127">
        <f t="shared" si="4"/>
        <v>0.326</v>
      </c>
      <c r="M12" s="127">
        <f t="shared" si="5"/>
        <v>0.326</v>
      </c>
    </row>
    <row r="13" s="103" customFormat="1" ht="18" customHeight="1" spans="1:18">
      <c r="A13" s="136"/>
      <c r="B13" s="137" t="s">
        <v>36</v>
      </c>
      <c r="C13" s="142" t="s">
        <v>37</v>
      </c>
      <c r="D13" s="143" t="s">
        <v>38</v>
      </c>
      <c r="E13" s="144">
        <f t="shared" ref="E13:I13" si="10">SUM(E8:E12)</f>
        <v>268908.660194175</v>
      </c>
      <c r="F13" s="140">
        <f t="shared" si="7"/>
        <v>0.474734588295627</v>
      </c>
      <c r="G13" s="144">
        <f t="shared" si="10"/>
        <v>268908.660194175</v>
      </c>
      <c r="H13" s="141">
        <f t="shared" si="10"/>
        <v>0.474734588295627</v>
      </c>
      <c r="I13" s="47">
        <f t="shared" si="10"/>
        <v>202629.97</v>
      </c>
      <c r="J13" s="127">
        <f>SUM(J8:J10)</f>
        <v>0.398760075275376</v>
      </c>
      <c r="K13" s="29">
        <f t="shared" si="3"/>
        <v>-66278.6901941749</v>
      </c>
      <c r="L13" s="127">
        <f t="shared" si="4"/>
        <v>0.753527126473665</v>
      </c>
      <c r="M13" s="127">
        <f t="shared" si="5"/>
        <v>0.753527126473665</v>
      </c>
      <c r="Q13" s="103" t="s">
        <v>17</v>
      </c>
      <c r="R13" s="103" t="s">
        <v>17</v>
      </c>
    </row>
    <row r="14" s="103" customFormat="1" ht="18" customHeight="1" spans="1:18">
      <c r="A14" s="145" t="s">
        <v>39</v>
      </c>
      <c r="B14" s="131" t="s">
        <v>40</v>
      </c>
      <c r="C14" s="146"/>
      <c r="D14" s="147" t="s">
        <v>41</v>
      </c>
      <c r="E14" s="148">
        <f t="shared" ref="E14:I14" si="11">E7-E13</f>
        <v>297531.339805825</v>
      </c>
      <c r="F14" s="149">
        <f t="shared" ref="F14:J14" si="12">E14/E7</f>
        <v>0.525265411704373</v>
      </c>
      <c r="G14" s="148">
        <f t="shared" si="11"/>
        <v>297531.339805825</v>
      </c>
      <c r="H14" s="149">
        <f t="shared" si="12"/>
        <v>0.525265411704373</v>
      </c>
      <c r="I14" s="148">
        <f t="shared" si="11"/>
        <v>246924.74</v>
      </c>
      <c r="J14" s="134">
        <f t="shared" si="12"/>
        <v>0.549265160629726</v>
      </c>
      <c r="K14" s="133">
        <f t="shared" si="3"/>
        <v>-50606.599805825</v>
      </c>
      <c r="L14" s="135">
        <f t="shared" si="4"/>
        <v>0.829911699927638</v>
      </c>
      <c r="M14" s="135">
        <f t="shared" si="5"/>
        <v>0.829911699927638</v>
      </c>
    </row>
    <row r="15" s="103" customFormat="1" ht="18" customHeight="1" spans="1:18">
      <c r="A15" s="122" t="s">
        <v>42</v>
      </c>
      <c r="B15" s="123" t="s">
        <v>43</v>
      </c>
      <c r="C15" s="150" t="s">
        <v>44</v>
      </c>
      <c r="D15" s="125"/>
      <c r="E15" s="28">
        <v>71666.67</v>
      </c>
      <c r="F15" s="126">
        <f t="shared" ref="F15:F18" si="13">E15/$E$7</f>
        <v>0.126521202598687</v>
      </c>
      <c r="G15" s="28">
        <v>71666.67</v>
      </c>
      <c r="H15" s="127">
        <f t="shared" ref="H15:H18" si="14">G15/$G$7</f>
        <v>0.126521202598687</v>
      </c>
      <c r="I15" s="29">
        <v>64572.73</v>
      </c>
      <c r="J15" s="127">
        <f t="shared" ref="J15:J18" si="15">I15/$I$7</f>
        <v>0.143637089243265</v>
      </c>
      <c r="K15" s="29">
        <f t="shared" si="3"/>
        <v>-7093.94</v>
      </c>
      <c r="L15" s="127">
        <f t="shared" si="4"/>
        <v>0.901014795301638</v>
      </c>
      <c r="M15" s="127">
        <f t="shared" si="5"/>
        <v>0.901014795301638</v>
      </c>
    </row>
    <row r="16" s="103" customFormat="1" ht="18" customHeight="1" spans="1:18">
      <c r="A16" s="122"/>
      <c r="B16" s="123" t="s">
        <v>45</v>
      </c>
      <c r="C16" s="150" t="s">
        <v>46</v>
      </c>
      <c r="D16" s="125"/>
      <c r="E16" s="49">
        <v>11000</v>
      </c>
      <c r="F16" s="126">
        <f t="shared" si="13"/>
        <v>0.0194195325188899</v>
      </c>
      <c r="G16" s="49">
        <v>11000</v>
      </c>
      <c r="H16" s="127">
        <f t="shared" si="14"/>
        <v>0.0194195325188899</v>
      </c>
      <c r="I16" s="29">
        <v>7659.29</v>
      </c>
      <c r="J16" s="127">
        <f t="shared" si="15"/>
        <v>0.0170375036221954</v>
      </c>
      <c r="K16" s="29">
        <f t="shared" si="3"/>
        <v>-3340.71</v>
      </c>
      <c r="L16" s="127">
        <f t="shared" si="4"/>
        <v>0.696299090909091</v>
      </c>
      <c r="M16" s="127">
        <f t="shared" si="5"/>
        <v>0.696299090909091</v>
      </c>
    </row>
    <row r="17" s="103" customFormat="1" ht="18" customHeight="1" spans="1:18">
      <c r="A17" s="122"/>
      <c r="B17" s="123" t="s">
        <v>47</v>
      </c>
      <c r="C17" s="150" t="s">
        <v>48</v>
      </c>
      <c r="D17" s="125"/>
      <c r="E17" s="49">
        <v>36250</v>
      </c>
      <c r="F17" s="126">
        <f t="shared" si="13"/>
        <v>0.0639961867099781</v>
      </c>
      <c r="G17" s="49">
        <v>36250</v>
      </c>
      <c r="H17" s="127">
        <f t="shared" si="14"/>
        <v>0.0639961867099781</v>
      </c>
      <c r="I17" s="54">
        <v>37376.22</v>
      </c>
      <c r="J17" s="127">
        <f t="shared" si="15"/>
        <v>0.0831405369993788</v>
      </c>
      <c r="K17" s="29">
        <f t="shared" si="3"/>
        <v>1126.22</v>
      </c>
      <c r="L17" s="127">
        <f t="shared" si="4"/>
        <v>1.03106813793103</v>
      </c>
      <c r="M17" s="127">
        <f t="shared" si="5"/>
        <v>1.03106813793103</v>
      </c>
      <c r="P17" s="103" t="s">
        <v>17</v>
      </c>
    </row>
    <row r="18" s="103" customFormat="1" ht="18" customHeight="1" spans="1:18">
      <c r="A18" s="122"/>
      <c r="B18" s="123" t="s">
        <v>49</v>
      </c>
      <c r="C18" s="150" t="s">
        <v>50</v>
      </c>
      <c r="D18" s="125"/>
      <c r="E18" s="56">
        <v>1000</v>
      </c>
      <c r="F18" s="126">
        <f t="shared" si="13"/>
        <v>0.00176541204717181</v>
      </c>
      <c r="G18" s="56">
        <v>1000</v>
      </c>
      <c r="H18" s="127">
        <f t="shared" si="14"/>
        <v>0.00176541204717181</v>
      </c>
      <c r="I18" s="29">
        <v>557.03</v>
      </c>
      <c r="J18" s="127">
        <f t="shared" si="15"/>
        <v>0.00123907054605211</v>
      </c>
      <c r="K18" s="29">
        <f t="shared" si="3"/>
        <v>-442.97</v>
      </c>
      <c r="L18" s="127">
        <f t="shared" si="4"/>
        <v>0.55703</v>
      </c>
      <c r="M18" s="127">
        <f t="shared" si="5"/>
        <v>0.55703</v>
      </c>
    </row>
    <row r="19" s="103" customFormat="1" ht="18" customHeight="1" spans="1:18">
      <c r="A19" s="145" t="s">
        <v>51</v>
      </c>
      <c r="B19" s="151" t="s">
        <v>52</v>
      </c>
      <c r="C19" s="152" t="s">
        <v>51</v>
      </c>
      <c r="D19" s="132" t="s">
        <v>53</v>
      </c>
      <c r="E19" s="133">
        <f t="shared" ref="E19:I19" si="16">SUM(E15:E18)</f>
        <v>119916.67</v>
      </c>
      <c r="F19" s="153"/>
      <c r="G19" s="133">
        <f t="shared" si="16"/>
        <v>119916.67</v>
      </c>
      <c r="H19" s="154"/>
      <c r="I19" s="133">
        <f t="shared" si="16"/>
        <v>110165.27</v>
      </c>
      <c r="J19" s="154"/>
      <c r="K19" s="133">
        <f t="shared" si="3"/>
        <v>-9751.39999999999</v>
      </c>
      <c r="L19" s="135">
        <f t="shared" si="4"/>
        <v>0.918681864664854</v>
      </c>
      <c r="M19" s="135">
        <f t="shared" si="5"/>
        <v>0.918681864664854</v>
      </c>
    </row>
    <row r="20" s="103" customFormat="1" ht="18" customHeight="1" spans="1:18">
      <c r="A20" s="155" t="s">
        <v>54</v>
      </c>
      <c r="B20" s="131" t="s">
        <v>55</v>
      </c>
      <c r="C20" s="131" t="s">
        <v>56</v>
      </c>
      <c r="D20" s="132" t="s">
        <v>57</v>
      </c>
      <c r="E20" s="133">
        <f t="shared" ref="E20:I20" si="17">E14-E19</f>
        <v>177614.669805825</v>
      </c>
      <c r="F20" s="156"/>
      <c r="G20" s="133">
        <f t="shared" si="17"/>
        <v>177614.669805825</v>
      </c>
      <c r="H20" s="154"/>
      <c r="I20" s="133">
        <f t="shared" si="17"/>
        <v>136759.47</v>
      </c>
      <c r="J20" s="154"/>
      <c r="K20" s="133">
        <f t="shared" si="3"/>
        <v>-40855.1998058251</v>
      </c>
      <c r="L20" s="135">
        <f t="shared" si="4"/>
        <v>0.769978460391309</v>
      </c>
      <c r="M20" s="135">
        <f t="shared" si="5"/>
        <v>0.769978460391309</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v>2417.5</v>
      </c>
      <c r="J22" s="159"/>
      <c r="K22" s="29">
        <f t="shared" si="3"/>
        <v>-430.5</v>
      </c>
      <c r="L22" s="127">
        <f t="shared" si="4"/>
        <v>0.848841292134832</v>
      </c>
      <c r="M22" s="127">
        <f t="shared" si="5"/>
        <v>0.848841292134832</v>
      </c>
    </row>
    <row r="23" s="103" customFormat="1" ht="18" customHeight="1" spans="1:18">
      <c r="A23" s="145" t="s">
        <v>66</v>
      </c>
      <c r="B23" s="131" t="s">
        <v>67</v>
      </c>
      <c r="C23" s="131" t="s">
        <v>68</v>
      </c>
      <c r="D23" s="132" t="s">
        <v>69</v>
      </c>
      <c r="E23" s="133">
        <f t="shared" ref="E23:I23" si="18">E20/E22</f>
        <v>62.3647014767644</v>
      </c>
      <c r="F23" s="160"/>
      <c r="G23" s="133">
        <f t="shared" si="18"/>
        <v>62.3647014767644</v>
      </c>
      <c r="H23" s="154"/>
      <c r="I23" s="133">
        <f t="shared" si="18"/>
        <v>56.5706184074457</v>
      </c>
      <c r="J23" s="154"/>
      <c r="K23" s="133"/>
      <c r="L23" s="135">
        <f t="shared" si="4"/>
        <v>0.907093549201427</v>
      </c>
      <c r="M23" s="135">
        <f t="shared" si="5"/>
        <v>0.907093549201427</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43572.3076923077</v>
      </c>
      <c r="F25" s="158"/>
      <c r="G25" s="29">
        <f t="shared" si="19"/>
        <v>43572.3076923077</v>
      </c>
      <c r="H25" s="159"/>
      <c r="I25" s="29">
        <f t="shared" si="19"/>
        <v>34581.1315384615</v>
      </c>
      <c r="J25" s="159"/>
      <c r="K25" s="29"/>
      <c r="L25" s="127">
        <f t="shared" si="4"/>
        <v>0.793649300896829</v>
      </c>
      <c r="M25" s="127">
        <f t="shared" si="5"/>
        <v>0.793649300896829</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72000</v>
      </c>
      <c r="F27" s="158"/>
      <c r="G27" s="166">
        <v>72000</v>
      </c>
      <c r="H27" s="159"/>
      <c r="I27" s="166">
        <v>60460.2</v>
      </c>
      <c r="J27" s="159"/>
      <c r="K27" s="166">
        <f t="shared" ref="K27:K30" si="20">I27-G27</f>
        <v>-11539.8</v>
      </c>
      <c r="L27" s="127">
        <f t="shared" ref="L27:L30" si="21">I27/G27</f>
        <v>0.839725</v>
      </c>
      <c r="M27" s="127">
        <f t="shared" ref="M27:M30" si="22">I27/E27</f>
        <v>0.839725</v>
      </c>
    </row>
    <row r="28" s="103" customFormat="1" ht="18" customHeight="1" spans="1:18">
      <c r="A28" s="136"/>
      <c r="B28" s="167" t="s">
        <v>81</v>
      </c>
      <c r="C28" s="165" t="s">
        <v>82</v>
      </c>
      <c r="D28" s="125" t="s">
        <v>83</v>
      </c>
      <c r="E28" s="158">
        <f t="shared" ref="E28:I28" si="23">E20-E27</f>
        <v>105614.669805825</v>
      </c>
      <c r="F28" s="158"/>
      <c r="G28" s="158">
        <f t="shared" si="23"/>
        <v>105614.669805825</v>
      </c>
      <c r="H28" s="159" t="s">
        <v>62</v>
      </c>
      <c r="I28" s="158">
        <f t="shared" si="23"/>
        <v>76299.27</v>
      </c>
      <c r="J28" s="159" t="s">
        <v>62</v>
      </c>
      <c r="K28" s="166">
        <f t="shared" si="20"/>
        <v>-29315.3998058251</v>
      </c>
      <c r="L28" s="127">
        <f t="shared" si="21"/>
        <v>0.722430606849199</v>
      </c>
      <c r="M28" s="127">
        <f t="shared" si="22"/>
        <v>0.722430606849199</v>
      </c>
    </row>
    <row r="29" s="103" customFormat="1" ht="18" customHeight="1" spans="1:18">
      <c r="A29" s="136"/>
      <c r="B29" s="167" t="s">
        <v>84</v>
      </c>
      <c r="C29" s="123" t="s">
        <v>85</v>
      </c>
      <c r="D29" s="125" t="s">
        <v>86</v>
      </c>
      <c r="E29" s="168">
        <f t="shared" ref="E29:I29" si="24">E28/E7*100%</f>
        <v>0.186453410433276</v>
      </c>
      <c r="F29" s="158"/>
      <c r="G29" s="168">
        <f t="shared" si="24"/>
        <v>0.186453410433276</v>
      </c>
      <c r="H29" s="159" t="s">
        <v>62</v>
      </c>
      <c r="I29" s="168">
        <f t="shared" si="24"/>
        <v>0.169721878789792</v>
      </c>
      <c r="J29" s="159" t="s">
        <v>62</v>
      </c>
      <c r="K29" s="166">
        <f t="shared" si="20"/>
        <v>-0.0167315316434846</v>
      </c>
      <c r="L29" s="127">
        <f t="shared" si="21"/>
        <v>0.910264276718756</v>
      </c>
      <c r="M29" s="127">
        <f t="shared" si="22"/>
        <v>0.910264276718756</v>
      </c>
    </row>
    <row r="30" s="104" customFormat="1" ht="13.5" spans="1:18">
      <c r="A30" s="136"/>
      <c r="B30" s="167" t="s">
        <v>87</v>
      </c>
      <c r="C30" s="123" t="s">
        <v>88</v>
      </c>
      <c r="D30" s="125" t="s">
        <v>89</v>
      </c>
      <c r="E30" s="169">
        <f t="shared" ref="E30:I30" si="25">E27/E22</f>
        <v>25.2808988764045</v>
      </c>
      <c r="F30" s="158"/>
      <c r="G30" s="158">
        <f t="shared" si="25"/>
        <v>25.2808988764045</v>
      </c>
      <c r="H30" s="159" t="s">
        <v>62</v>
      </c>
      <c r="I30" s="158">
        <f t="shared" si="25"/>
        <v>25.0093898655636</v>
      </c>
      <c r="J30" s="159" t="s">
        <v>62</v>
      </c>
      <c r="K30" s="166">
        <f t="shared" si="20"/>
        <v>-0.271509010840894</v>
      </c>
      <c r="L30" s="127">
        <f t="shared" si="21"/>
        <v>0.989260310237849</v>
      </c>
      <c r="M30" s="127">
        <f t="shared" si="22"/>
        <v>0.989260310237849</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S23" sqref="S23"/>
    </sheetView>
  </sheetViews>
  <sheetFormatPr defaultColWidth="8.625" defaultRowHeight="14.25"/>
  <cols>
    <col min="1" max="1" width="9.25" style="105" customWidth="1"/>
    <col min="2" max="2" width="4.5" style="106" customWidth="1"/>
    <col min="3" max="3" width="10.875" style="107" customWidth="1"/>
    <col min="4" max="4" width="6.5" style="108" customWidth="1"/>
    <col min="5" max="5" width="16.125" style="109" customWidth="1"/>
    <col min="6" max="6" width="8.875" style="109" customWidth="1"/>
    <col min="7" max="7" width="17" style="104" customWidth="1"/>
    <col min="8" max="8" width="9" style="104" customWidth="1"/>
    <col min="9" max="9" width="16.875" style="104" customWidth="1"/>
    <col min="10" max="10" width="9.625" style="104" customWidth="1"/>
    <col min="11" max="11" width="16.125" style="104" customWidth="1"/>
    <col min="12" max="12" width="8.875" style="104" customWidth="1"/>
    <col min="13" max="13" width="8.25" style="104" customWidth="1"/>
    <col min="14" max="32" width="9" style="104"/>
    <col min="33" max="16384" width="8.625" style="104"/>
  </cols>
  <sheetData>
    <row r="1" s="103" customFormat="1" ht="25.15" customHeight="1" spans="1:18">
      <c r="A1" s="110" t="s">
        <v>90</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1680000</v>
      </c>
      <c r="F3" s="126">
        <f t="shared" ref="F3:F6" si="0">E3/$E$7</f>
        <v>0.899357601713062</v>
      </c>
      <c r="G3" s="33">
        <v>1680000</v>
      </c>
      <c r="H3" s="127">
        <f t="shared" ref="H3:H6" si="1">G3/$G$7</f>
        <v>0.899357601713062</v>
      </c>
      <c r="I3" s="29">
        <v>1454734</v>
      </c>
      <c r="J3" s="127">
        <f t="shared" ref="J3:J6" si="2">I3/$I$7</f>
        <v>0.893451235349718</v>
      </c>
      <c r="K3" s="29">
        <f t="shared" ref="K3:K22" si="3">I3-G3</f>
        <v>-225266</v>
      </c>
      <c r="L3" s="127">
        <f t="shared" ref="L3:L25" si="4">I3/G3</f>
        <v>0.865913095238095</v>
      </c>
      <c r="M3" s="127">
        <f t="shared" ref="M3:M25" si="5">I3/E3</f>
        <v>0.865913095238095</v>
      </c>
    </row>
    <row r="4" s="103" customFormat="1" ht="18" customHeight="1" spans="1:18">
      <c r="A4" s="122"/>
      <c r="B4" s="123" t="s">
        <v>15</v>
      </c>
      <c r="C4" s="128" t="s">
        <v>16</v>
      </c>
      <c r="D4" s="125"/>
      <c r="E4" s="33">
        <v>126000</v>
      </c>
      <c r="F4" s="126">
        <f t="shared" si="0"/>
        <v>0.0674518201284797</v>
      </c>
      <c r="G4" s="33">
        <v>126000</v>
      </c>
      <c r="H4" s="127">
        <f t="shared" si="1"/>
        <v>0.0674518201284797</v>
      </c>
      <c r="I4" s="29">
        <v>102879.7</v>
      </c>
      <c r="J4" s="127">
        <f t="shared" si="2"/>
        <v>0.0631854311904502</v>
      </c>
      <c r="K4" s="29">
        <f t="shared" si="3"/>
        <v>-23120.3</v>
      </c>
      <c r="L4" s="127">
        <f t="shared" si="4"/>
        <v>0.816505555555555</v>
      </c>
      <c r="M4" s="127">
        <f t="shared" si="5"/>
        <v>0.816505555555555</v>
      </c>
      <c r="O4" s="103" t="s">
        <v>17</v>
      </c>
    </row>
    <row r="5" s="103" customFormat="1" ht="18" customHeight="1" spans="1:18">
      <c r="A5" s="122"/>
      <c r="B5" s="123" t="s">
        <v>18</v>
      </c>
      <c r="C5" s="128" t="s">
        <v>19</v>
      </c>
      <c r="D5" s="125"/>
      <c r="E5" s="33">
        <v>20000</v>
      </c>
      <c r="F5" s="126">
        <f t="shared" si="0"/>
        <v>0.0107066381156317</v>
      </c>
      <c r="G5" s="33">
        <v>20000</v>
      </c>
      <c r="H5" s="127">
        <f t="shared" si="1"/>
        <v>0.0107066381156317</v>
      </c>
      <c r="I5" s="29">
        <v>16000</v>
      </c>
      <c r="J5" s="127">
        <f t="shared" si="2"/>
        <v>0.00982668980418103</v>
      </c>
      <c r="K5" s="29">
        <f t="shared" si="3"/>
        <v>-4000</v>
      </c>
      <c r="L5" s="127">
        <f t="shared" si="4"/>
        <v>0.8</v>
      </c>
      <c r="M5" s="127">
        <f t="shared" si="5"/>
        <v>0.8</v>
      </c>
    </row>
    <row r="6" s="103" customFormat="1" ht="18" customHeight="1" spans="1:18">
      <c r="A6" s="129"/>
      <c r="B6" s="123" t="s">
        <v>20</v>
      </c>
      <c r="C6" s="128" t="s">
        <v>21</v>
      </c>
      <c r="D6" s="125"/>
      <c r="E6" s="33">
        <v>42000</v>
      </c>
      <c r="F6" s="126">
        <f t="shared" si="0"/>
        <v>0.0224839400428266</v>
      </c>
      <c r="G6" s="33">
        <v>42000</v>
      </c>
      <c r="H6" s="127">
        <f t="shared" si="1"/>
        <v>0.0224839400428266</v>
      </c>
      <c r="I6" s="29">
        <v>54604.99</v>
      </c>
      <c r="J6" s="127">
        <f t="shared" si="2"/>
        <v>0.0335366436556505</v>
      </c>
      <c r="K6" s="29">
        <f t="shared" si="3"/>
        <v>12604.99</v>
      </c>
      <c r="L6" s="127">
        <f t="shared" si="4"/>
        <v>1.30011880952381</v>
      </c>
      <c r="M6" s="127">
        <f t="shared" si="5"/>
        <v>1.30011880952381</v>
      </c>
    </row>
    <row r="7" s="103" customFormat="1" ht="18" customHeight="1" spans="1:18">
      <c r="A7" s="130"/>
      <c r="B7" s="131" t="s">
        <v>22</v>
      </c>
      <c r="C7" s="131" t="s">
        <v>23</v>
      </c>
      <c r="D7" s="132" t="s">
        <v>24</v>
      </c>
      <c r="E7" s="133">
        <f t="shared" ref="E7:J7" si="6">SUM(E3:E6)</f>
        <v>1868000</v>
      </c>
      <c r="F7" s="134">
        <f t="shared" si="6"/>
        <v>1</v>
      </c>
      <c r="G7" s="33">
        <f t="shared" si="6"/>
        <v>1868000</v>
      </c>
      <c r="H7" s="135">
        <f t="shared" si="6"/>
        <v>1</v>
      </c>
      <c r="I7" s="33">
        <f t="shared" si="6"/>
        <v>1628218.69</v>
      </c>
      <c r="J7" s="135">
        <f t="shared" si="6"/>
        <v>1</v>
      </c>
      <c r="K7" s="133">
        <f t="shared" si="3"/>
        <v>-239781.31</v>
      </c>
      <c r="L7" s="135">
        <f t="shared" si="4"/>
        <v>0.871637414346895</v>
      </c>
      <c r="M7" s="135">
        <f t="shared" si="5"/>
        <v>0.871637414346895</v>
      </c>
    </row>
    <row r="8" s="103" customFormat="1" ht="18" customHeight="1" spans="1:18">
      <c r="A8" s="136" t="s">
        <v>25</v>
      </c>
      <c r="B8" s="137" t="s">
        <v>26</v>
      </c>
      <c r="C8" s="138" t="s">
        <v>27</v>
      </c>
      <c r="D8" s="139"/>
      <c r="E8" s="48">
        <v>670420.310679612</v>
      </c>
      <c r="F8" s="140">
        <f t="shared" ref="F8:F13" si="7">E8/$E$7</f>
        <v>0.358897382590799</v>
      </c>
      <c r="G8" s="48">
        <v>670420.310679612</v>
      </c>
      <c r="H8" s="141">
        <f t="shared" ref="H8:H12" si="8">G8/$G$7</f>
        <v>0.358897382590799</v>
      </c>
      <c r="I8" s="47">
        <v>580611.52</v>
      </c>
      <c r="J8" s="127">
        <f t="shared" ref="J8:J12" si="9">I8/$I$7</f>
        <v>0.356593081485878</v>
      </c>
      <c r="K8" s="29">
        <f t="shared" si="3"/>
        <v>-89808.790679612</v>
      </c>
      <c r="L8" s="127">
        <f t="shared" si="4"/>
        <v>0.86604106521091</v>
      </c>
      <c r="M8" s="127">
        <f t="shared" si="5"/>
        <v>0.86604106521091</v>
      </c>
      <c r="Q8" s="103" t="s">
        <v>17</v>
      </c>
    </row>
    <row r="9" s="103" customFormat="1" ht="18" customHeight="1" spans="1:18">
      <c r="A9" s="136"/>
      <c r="B9" s="137" t="s">
        <v>28</v>
      </c>
      <c r="C9" s="138" t="s">
        <v>29</v>
      </c>
      <c r="D9" s="139"/>
      <c r="E9" s="48">
        <v>31500</v>
      </c>
      <c r="F9" s="140">
        <f t="shared" si="7"/>
        <v>0.0168629550321199</v>
      </c>
      <c r="G9" s="48">
        <v>31500</v>
      </c>
      <c r="H9" s="141">
        <f t="shared" si="8"/>
        <v>0.0168629550321199</v>
      </c>
      <c r="I9" s="47">
        <v>21921.96</v>
      </c>
      <c r="J9" s="127">
        <f t="shared" si="9"/>
        <v>0.013463768801229</v>
      </c>
      <c r="K9" s="29">
        <f t="shared" si="3"/>
        <v>-9578.04</v>
      </c>
      <c r="L9" s="127">
        <f t="shared" si="4"/>
        <v>0.695935238095238</v>
      </c>
      <c r="M9" s="127">
        <f t="shared" si="5"/>
        <v>0.695935238095238</v>
      </c>
    </row>
    <row r="10" s="103" customFormat="1" ht="18" customHeight="1" spans="1:18">
      <c r="A10" s="136"/>
      <c r="B10" s="137" t="s">
        <v>30</v>
      </c>
      <c r="C10" s="138" t="s">
        <v>31</v>
      </c>
      <c r="D10" s="139"/>
      <c r="E10" s="49">
        <v>30000</v>
      </c>
      <c r="F10" s="140">
        <f t="shared" si="7"/>
        <v>0.0160599571734475</v>
      </c>
      <c r="G10" s="49">
        <v>30000</v>
      </c>
      <c r="H10" s="141">
        <f t="shared" si="8"/>
        <v>0.0160599571734475</v>
      </c>
      <c r="I10" s="47">
        <v>17591.38</v>
      </c>
      <c r="J10" s="127">
        <f t="shared" si="9"/>
        <v>0.0108040646554671</v>
      </c>
      <c r="K10" s="29">
        <f t="shared" si="3"/>
        <v>-12408.62</v>
      </c>
      <c r="L10" s="127">
        <f t="shared" si="4"/>
        <v>0.586379333333333</v>
      </c>
      <c r="M10" s="127">
        <f t="shared" si="5"/>
        <v>0.586379333333333</v>
      </c>
    </row>
    <row r="11" s="103" customFormat="1" ht="18" customHeight="1" spans="1:18">
      <c r="A11" s="136"/>
      <c r="B11" s="137" t="s">
        <v>32</v>
      </c>
      <c r="C11" s="138" t="s">
        <v>33</v>
      </c>
      <c r="D11" s="139"/>
      <c r="E11" s="48">
        <v>84000</v>
      </c>
      <c r="F11" s="140">
        <f t="shared" si="7"/>
        <v>0.0449678800856531</v>
      </c>
      <c r="G11" s="48">
        <v>84000</v>
      </c>
      <c r="H11" s="141">
        <f t="shared" si="8"/>
        <v>0.0449678800856531</v>
      </c>
      <c r="I11" s="47">
        <v>72747.45</v>
      </c>
      <c r="J11" s="127">
        <f t="shared" si="9"/>
        <v>0.0446791640746981</v>
      </c>
      <c r="K11" s="29">
        <f t="shared" si="3"/>
        <v>-11252.55</v>
      </c>
      <c r="L11" s="127">
        <f t="shared" si="4"/>
        <v>0.866041071428571</v>
      </c>
      <c r="M11" s="127">
        <f t="shared" si="5"/>
        <v>0.866041071428571</v>
      </c>
    </row>
    <row r="12" s="103" customFormat="1" ht="18" customHeight="1" spans="1:18">
      <c r="A12" s="136"/>
      <c r="B12" s="137" t="s">
        <v>34</v>
      </c>
      <c r="C12" s="138" t="s">
        <v>35</v>
      </c>
      <c r="D12" s="139"/>
      <c r="E12" s="28">
        <v>36500</v>
      </c>
      <c r="F12" s="140">
        <f t="shared" si="7"/>
        <v>0.0195396145610278</v>
      </c>
      <c r="G12" s="28">
        <v>36500</v>
      </c>
      <c r="H12" s="141">
        <f t="shared" si="8"/>
        <v>0.0195396145610278</v>
      </c>
      <c r="I12" s="47">
        <v>31166.26</v>
      </c>
      <c r="J12" s="127">
        <f t="shared" si="9"/>
        <v>0.0191413230860285</v>
      </c>
      <c r="K12" s="29">
        <f t="shared" si="3"/>
        <v>-5333.74</v>
      </c>
      <c r="L12" s="127">
        <f t="shared" si="4"/>
        <v>0.853870136986301</v>
      </c>
      <c r="M12" s="127">
        <f t="shared" si="5"/>
        <v>0.853870136986301</v>
      </c>
    </row>
    <row r="13" s="103" customFormat="1" ht="18" customHeight="1" spans="1:18">
      <c r="A13" s="136"/>
      <c r="B13" s="137" t="s">
        <v>36</v>
      </c>
      <c r="C13" s="142" t="s">
        <v>37</v>
      </c>
      <c r="D13" s="143" t="s">
        <v>38</v>
      </c>
      <c r="E13" s="144">
        <f t="shared" ref="E13:I13" si="10">SUM(E8:E12)</f>
        <v>852420.310679612</v>
      </c>
      <c r="F13" s="140">
        <f t="shared" si="7"/>
        <v>0.456327789443047</v>
      </c>
      <c r="G13" s="144">
        <f t="shared" si="10"/>
        <v>852420.310679612</v>
      </c>
      <c r="H13" s="141">
        <f t="shared" si="10"/>
        <v>0.456327789443047</v>
      </c>
      <c r="I13" s="47">
        <f t="shared" si="10"/>
        <v>724038.57</v>
      </c>
      <c r="J13" s="127">
        <f>SUM(J8:J10)</f>
        <v>0.380860914942574</v>
      </c>
      <c r="K13" s="29">
        <f t="shared" si="3"/>
        <v>-128381.740679612</v>
      </c>
      <c r="L13" s="127">
        <f t="shared" si="4"/>
        <v>0.849391504318736</v>
      </c>
      <c r="M13" s="127">
        <f t="shared" si="5"/>
        <v>0.849391504318736</v>
      </c>
      <c r="Q13" s="103" t="s">
        <v>17</v>
      </c>
      <c r="R13" s="103" t="s">
        <v>17</v>
      </c>
    </row>
    <row r="14" s="103" customFormat="1" ht="18" customHeight="1" spans="1:18">
      <c r="A14" s="145" t="s">
        <v>39</v>
      </c>
      <c r="B14" s="131" t="s">
        <v>40</v>
      </c>
      <c r="C14" s="146"/>
      <c r="D14" s="147" t="s">
        <v>41</v>
      </c>
      <c r="E14" s="148">
        <f t="shared" ref="E14:I14" si="11">E7-E13</f>
        <v>1015579.68932039</v>
      </c>
      <c r="F14" s="149">
        <f t="shared" ref="F14:J14" si="12">E14/E7</f>
        <v>0.543672210556953</v>
      </c>
      <c r="G14" s="148">
        <f t="shared" si="11"/>
        <v>1015579.68932039</v>
      </c>
      <c r="H14" s="149">
        <f t="shared" si="12"/>
        <v>0.543672210556953</v>
      </c>
      <c r="I14" s="148">
        <f t="shared" si="11"/>
        <v>904180.12</v>
      </c>
      <c r="J14" s="134">
        <f t="shared" si="12"/>
        <v>0.555318597896699</v>
      </c>
      <c r="K14" s="133">
        <f t="shared" si="3"/>
        <v>-111399.569320388</v>
      </c>
      <c r="L14" s="135">
        <f t="shared" si="4"/>
        <v>0.89030937651487</v>
      </c>
      <c r="M14" s="135">
        <f t="shared" si="5"/>
        <v>0.89030937651487</v>
      </c>
    </row>
    <row r="15" s="103" customFormat="1" ht="18" customHeight="1" spans="1:18">
      <c r="A15" s="122" t="s">
        <v>42</v>
      </c>
      <c r="B15" s="123" t="s">
        <v>43</v>
      </c>
      <c r="C15" s="150" t="s">
        <v>44</v>
      </c>
      <c r="D15" s="125"/>
      <c r="E15" s="28">
        <v>72666.67</v>
      </c>
      <c r="F15" s="126">
        <f t="shared" ref="F15:F18" si="13">E15/$E$7</f>
        <v>0.0389007869379015</v>
      </c>
      <c r="G15" s="28">
        <v>72666.67</v>
      </c>
      <c r="H15" s="127">
        <f t="shared" ref="H15:H18" si="14">G15/$G$7</f>
        <v>0.0389007869379015</v>
      </c>
      <c r="I15" s="29">
        <v>70980.85</v>
      </c>
      <c r="J15" s="127">
        <f t="shared" ref="J15:J18" si="15">I15/$I$7</f>
        <v>0.043594174686694</v>
      </c>
      <c r="K15" s="29">
        <f t="shared" si="3"/>
        <v>-1685.81999999999</v>
      </c>
      <c r="L15" s="127">
        <f t="shared" si="4"/>
        <v>0.976800643266026</v>
      </c>
      <c r="M15" s="127">
        <f t="shared" si="5"/>
        <v>0.976800643266026</v>
      </c>
    </row>
    <row r="16" s="103" customFormat="1" ht="18" customHeight="1" spans="1:18">
      <c r="A16" s="122"/>
      <c r="B16" s="123" t="s">
        <v>45</v>
      </c>
      <c r="C16" s="150" t="s">
        <v>46</v>
      </c>
      <c r="D16" s="125"/>
      <c r="E16" s="49">
        <v>12000</v>
      </c>
      <c r="F16" s="126">
        <f t="shared" si="13"/>
        <v>0.00642398286937901</v>
      </c>
      <c r="G16" s="49">
        <v>12000</v>
      </c>
      <c r="H16" s="127">
        <f t="shared" si="14"/>
        <v>0.00642398286937901</v>
      </c>
      <c r="I16" s="29">
        <v>6000</v>
      </c>
      <c r="J16" s="127">
        <f t="shared" si="15"/>
        <v>0.00368500867656789</v>
      </c>
      <c r="K16" s="29">
        <f t="shared" si="3"/>
        <v>-6000</v>
      </c>
      <c r="L16" s="127">
        <f t="shared" si="4"/>
        <v>0.5</v>
      </c>
      <c r="M16" s="127">
        <f t="shared" si="5"/>
        <v>0.5</v>
      </c>
    </row>
    <row r="17" s="103" customFormat="1" ht="18" customHeight="1" spans="1:18">
      <c r="A17" s="122"/>
      <c r="B17" s="123" t="s">
        <v>47</v>
      </c>
      <c r="C17" s="150" t="s">
        <v>48</v>
      </c>
      <c r="D17" s="125"/>
      <c r="E17" s="49">
        <v>36250</v>
      </c>
      <c r="F17" s="126">
        <f t="shared" si="13"/>
        <v>0.0194057815845824</v>
      </c>
      <c r="G17" s="49">
        <v>36250</v>
      </c>
      <c r="H17" s="127">
        <f t="shared" si="14"/>
        <v>0.0194057815845824</v>
      </c>
      <c r="I17" s="54">
        <v>34818.25</v>
      </c>
      <c r="J17" s="127">
        <f t="shared" si="15"/>
        <v>0.0213842588921516</v>
      </c>
      <c r="K17" s="29">
        <f t="shared" si="3"/>
        <v>-1431.75</v>
      </c>
      <c r="L17" s="127">
        <f t="shared" si="4"/>
        <v>0.960503448275862</v>
      </c>
      <c r="M17" s="127">
        <f t="shared" si="5"/>
        <v>0.960503448275862</v>
      </c>
      <c r="P17" s="103" t="s">
        <v>17</v>
      </c>
    </row>
    <row r="18" s="103" customFormat="1" ht="18" customHeight="1" spans="1:18">
      <c r="A18" s="122"/>
      <c r="B18" s="123" t="s">
        <v>49</v>
      </c>
      <c r="C18" s="150" t="s">
        <v>50</v>
      </c>
      <c r="D18" s="125"/>
      <c r="E18" s="56">
        <v>2500</v>
      </c>
      <c r="F18" s="126">
        <f t="shared" si="13"/>
        <v>0.00133832976445396</v>
      </c>
      <c r="G18" s="56">
        <v>2500</v>
      </c>
      <c r="H18" s="127">
        <f t="shared" si="14"/>
        <v>0.00133832976445396</v>
      </c>
      <c r="I18" s="29">
        <v>2242.49</v>
      </c>
      <c r="J18" s="127">
        <f t="shared" si="15"/>
        <v>0.00137726585118612</v>
      </c>
      <c r="K18" s="29">
        <f t="shared" si="3"/>
        <v>-257.51</v>
      </c>
      <c r="L18" s="127">
        <f t="shared" si="4"/>
        <v>0.896996</v>
      </c>
      <c r="M18" s="127">
        <f t="shared" si="5"/>
        <v>0.896996</v>
      </c>
    </row>
    <row r="19" s="103" customFormat="1" ht="18" customHeight="1" spans="1:18">
      <c r="A19" s="145" t="s">
        <v>51</v>
      </c>
      <c r="B19" s="151" t="s">
        <v>52</v>
      </c>
      <c r="C19" s="152" t="s">
        <v>51</v>
      </c>
      <c r="D19" s="132" t="s">
        <v>53</v>
      </c>
      <c r="E19" s="133">
        <f t="shared" ref="E19:I19" si="16">SUM(E15:E18)</f>
        <v>123416.67</v>
      </c>
      <c r="F19" s="153"/>
      <c r="G19" s="133">
        <f t="shared" si="16"/>
        <v>123416.67</v>
      </c>
      <c r="H19" s="154"/>
      <c r="I19" s="133">
        <f t="shared" si="16"/>
        <v>114041.59</v>
      </c>
      <c r="J19" s="154"/>
      <c r="K19" s="133">
        <f t="shared" si="3"/>
        <v>-9375.07999999999</v>
      </c>
      <c r="L19" s="135">
        <f t="shared" si="4"/>
        <v>0.924037166129989</v>
      </c>
      <c r="M19" s="135">
        <f t="shared" si="5"/>
        <v>0.924037166129989</v>
      </c>
    </row>
    <row r="20" s="103" customFormat="1" ht="18" customHeight="1" spans="1:18">
      <c r="A20" s="155" t="s">
        <v>54</v>
      </c>
      <c r="B20" s="131" t="s">
        <v>55</v>
      </c>
      <c r="C20" s="131" t="s">
        <v>56</v>
      </c>
      <c r="D20" s="132" t="s">
        <v>57</v>
      </c>
      <c r="E20" s="133">
        <f t="shared" ref="E20:I20" si="17">E14-E19</f>
        <v>892163.019320388</v>
      </c>
      <c r="F20" s="156"/>
      <c r="G20" s="133">
        <f t="shared" si="17"/>
        <v>892163.019320388</v>
      </c>
      <c r="H20" s="154"/>
      <c r="I20" s="133">
        <f t="shared" si="17"/>
        <v>790138.53</v>
      </c>
      <c r="J20" s="154"/>
      <c r="K20" s="133">
        <f t="shared" si="3"/>
        <v>-102024.489320388</v>
      </c>
      <c r="L20" s="135">
        <f t="shared" si="4"/>
        <v>0.885643669249925</v>
      </c>
      <c r="M20" s="135">
        <f t="shared" si="5"/>
        <v>0.885643669249925</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v>3509</v>
      </c>
      <c r="F22" s="158"/>
      <c r="G22" s="29">
        <v>3509</v>
      </c>
      <c r="H22" s="159"/>
      <c r="I22" s="29">
        <v>3024.5</v>
      </c>
      <c r="J22" s="159"/>
      <c r="K22" s="29">
        <f t="shared" si="3"/>
        <v>-484.5</v>
      </c>
      <c r="L22" s="127">
        <f t="shared" si="4"/>
        <v>0.861926474779139</v>
      </c>
      <c r="M22" s="127">
        <f t="shared" si="5"/>
        <v>0.861926474779139</v>
      </c>
    </row>
    <row r="23" s="103" customFormat="1" ht="18" customHeight="1" spans="1:18">
      <c r="A23" s="145" t="s">
        <v>66</v>
      </c>
      <c r="B23" s="131" t="s">
        <v>67</v>
      </c>
      <c r="C23" s="131" t="s">
        <v>68</v>
      </c>
      <c r="D23" s="132" t="s">
        <v>69</v>
      </c>
      <c r="E23" s="133">
        <f t="shared" ref="E23:I23" si="18">E20/E22</f>
        <v>254.249934260584</v>
      </c>
      <c r="F23" s="160"/>
      <c r="G23" s="133">
        <f t="shared" si="18"/>
        <v>254.249934260584</v>
      </c>
      <c r="H23" s="154"/>
      <c r="I23" s="133">
        <f t="shared" si="18"/>
        <v>261.2460009919</v>
      </c>
      <c r="J23" s="154"/>
      <c r="K23" s="133">
        <f>K20/K22</f>
        <v>210.57686134239</v>
      </c>
      <c r="L23" s="135">
        <f t="shared" si="4"/>
        <v>1.0275164937669</v>
      </c>
      <c r="M23" s="135">
        <f t="shared" si="5"/>
        <v>1.0275164937669</v>
      </c>
    </row>
    <row r="24" s="103" customFormat="1" ht="18" customHeight="1" spans="1:18">
      <c r="A24" s="136" t="s">
        <v>70</v>
      </c>
      <c r="B24" s="161" t="s">
        <v>71</v>
      </c>
      <c r="C24" s="123" t="s">
        <v>72</v>
      </c>
      <c r="D24" s="125"/>
      <c r="E24" s="29">
        <v>13</v>
      </c>
      <c r="F24" s="158"/>
      <c r="G24" s="29">
        <v>13</v>
      </c>
      <c r="H24" s="159" t="s">
        <v>62</v>
      </c>
      <c r="I24" s="29">
        <v>19</v>
      </c>
      <c r="J24" s="159" t="s">
        <v>62</v>
      </c>
      <c r="K24" s="29">
        <f>I24-G24</f>
        <v>6</v>
      </c>
      <c r="L24" s="127">
        <f t="shared" si="4"/>
        <v>1.46153846153846</v>
      </c>
      <c r="M24" s="127">
        <f t="shared" si="5"/>
        <v>1.46153846153846</v>
      </c>
    </row>
    <row r="25" s="103" customFormat="1" ht="13.5" spans="1:18">
      <c r="A25" s="136"/>
      <c r="B25" s="123" t="s">
        <v>73</v>
      </c>
      <c r="C25" s="162" t="s">
        <v>74</v>
      </c>
      <c r="D25" s="163" t="s">
        <v>75</v>
      </c>
      <c r="E25" s="29">
        <f t="shared" ref="E25:I25" si="19">E7/E24</f>
        <v>143692.307692308</v>
      </c>
      <c r="F25" s="158"/>
      <c r="G25" s="29">
        <f t="shared" si="19"/>
        <v>143692.307692308</v>
      </c>
      <c r="H25" s="159"/>
      <c r="I25" s="29">
        <f t="shared" si="19"/>
        <v>85695.7205263158</v>
      </c>
      <c r="J25" s="159"/>
      <c r="K25" s="29">
        <f>K7/K24</f>
        <v>-39963.5516666667</v>
      </c>
      <c r="L25" s="127">
        <f t="shared" si="4"/>
        <v>0.596383494026823</v>
      </c>
      <c r="M25" s="127">
        <f t="shared" si="5"/>
        <v>0.596383494026823</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123000</v>
      </c>
      <c r="F27" s="158"/>
      <c r="G27" s="166">
        <v>123000</v>
      </c>
      <c r="H27" s="159"/>
      <c r="I27" s="166">
        <v>106242.57</v>
      </c>
      <c r="J27" s="159"/>
      <c r="K27" s="166">
        <f t="shared" ref="K27:K30" si="20">I27-G27</f>
        <v>-16757.43</v>
      </c>
      <c r="L27" s="127">
        <f t="shared" ref="L27:L30" si="21">I27/G27</f>
        <v>0.863760731707317</v>
      </c>
      <c r="M27" s="127">
        <f t="shared" ref="M27:M30" si="22">I27/E27</f>
        <v>0.863760731707317</v>
      </c>
    </row>
    <row r="28" s="103" customFormat="1" ht="18" customHeight="1" spans="1:18">
      <c r="A28" s="136"/>
      <c r="B28" s="167" t="s">
        <v>81</v>
      </c>
      <c r="C28" s="165" t="s">
        <v>82</v>
      </c>
      <c r="D28" s="125" t="s">
        <v>83</v>
      </c>
      <c r="E28" s="158">
        <f t="shared" ref="E28:I28" si="23">E20-E27</f>
        <v>769163.019320388</v>
      </c>
      <c r="F28" s="158"/>
      <c r="G28" s="158">
        <f t="shared" si="23"/>
        <v>769163.019320388</v>
      </c>
      <c r="H28" s="159" t="s">
        <v>62</v>
      </c>
      <c r="I28" s="158">
        <f t="shared" si="23"/>
        <v>683895.96</v>
      </c>
      <c r="J28" s="159" t="s">
        <v>62</v>
      </c>
      <c r="K28" s="166">
        <f t="shared" si="20"/>
        <v>-85267.059320388</v>
      </c>
      <c r="L28" s="127">
        <f t="shared" si="21"/>
        <v>0.889143059171347</v>
      </c>
      <c r="M28" s="127">
        <f t="shared" si="22"/>
        <v>0.889143059171347</v>
      </c>
    </row>
    <row r="29" s="103" customFormat="1" ht="18" customHeight="1" spans="1:18">
      <c r="A29" s="136"/>
      <c r="B29" s="167" t="s">
        <v>84</v>
      </c>
      <c r="C29" s="123" t="s">
        <v>85</v>
      </c>
      <c r="D29" s="125" t="s">
        <v>86</v>
      </c>
      <c r="E29" s="168">
        <f t="shared" ref="E29:I29" si="24">E28/E7*100%</f>
        <v>0.411757504989501</v>
      </c>
      <c r="F29" s="158"/>
      <c r="G29" s="168">
        <f t="shared" si="24"/>
        <v>0.411757504989501</v>
      </c>
      <c r="H29" s="159" t="s">
        <v>62</v>
      </c>
      <c r="I29" s="168">
        <f t="shared" si="24"/>
        <v>0.420027091078288</v>
      </c>
      <c r="J29" s="159" t="s">
        <v>62</v>
      </c>
      <c r="K29" s="166">
        <f t="shared" si="20"/>
        <v>0.00826958608878647</v>
      </c>
      <c r="L29" s="127">
        <f t="shared" si="21"/>
        <v>1.02008363172153</v>
      </c>
      <c r="M29" s="127">
        <f t="shared" si="22"/>
        <v>1.02008363172153</v>
      </c>
    </row>
    <row r="30" s="104" customFormat="1" ht="24" spans="1:18">
      <c r="A30" s="136"/>
      <c r="B30" s="167" t="s">
        <v>87</v>
      </c>
      <c r="C30" s="123" t="s">
        <v>88</v>
      </c>
      <c r="D30" s="125" t="s">
        <v>89</v>
      </c>
      <c r="E30" s="169">
        <f t="shared" ref="E30:I30" si="25">E27/E22</f>
        <v>35.0527215730977</v>
      </c>
      <c r="F30" s="158"/>
      <c r="G30" s="158">
        <f t="shared" si="25"/>
        <v>35.0527215730977</v>
      </c>
      <c r="H30" s="159" t="s">
        <v>62</v>
      </c>
      <c r="I30" s="158">
        <f t="shared" si="25"/>
        <v>35.1273169118863</v>
      </c>
      <c r="J30" s="159" t="s">
        <v>62</v>
      </c>
      <c r="K30" s="166">
        <f t="shared" si="20"/>
        <v>0.0745953387885123</v>
      </c>
      <c r="L30" s="127">
        <f t="shared" si="21"/>
        <v>1.00212808978706</v>
      </c>
      <c r="M30" s="127">
        <f t="shared" si="22"/>
        <v>1.00212808978706</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rintOptions verticalCentered="1"/>
  <pageMargins left="0.357638888888889" right="0.357638888888889" top="0.0152777777777778" bottom="0.0152777777777778" header="0.5" footer="0.5"/>
  <pageSetup paperSize="9" orientation="landscape" horizont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S13" sqref="S13"/>
    </sheetView>
  </sheetViews>
  <sheetFormatPr defaultColWidth="8.625" defaultRowHeight="14.25"/>
  <cols>
    <col min="1" max="1" width="10.125" style="105" customWidth="1"/>
    <col min="2" max="2" width="4.5" style="106" customWidth="1"/>
    <col min="3" max="3" width="13.875" style="107" customWidth="1"/>
    <col min="4" max="4" width="7" style="108" customWidth="1"/>
    <col min="5" max="5" width="16.25" style="109" customWidth="1"/>
    <col min="6" max="6" width="8.875" style="109" customWidth="1"/>
    <col min="7" max="7" width="15.125"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91</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450000</v>
      </c>
      <c r="F3" s="126">
        <f t="shared" ref="F3:F6" si="0">E3/$E$7</f>
        <v>0.853727945361411</v>
      </c>
      <c r="G3" s="33">
        <v>450000</v>
      </c>
      <c r="H3" s="127">
        <f t="shared" ref="H3:H6" si="1">G3/$G$7</f>
        <v>0.853727945361411</v>
      </c>
      <c r="I3" s="29">
        <v>494764.6</v>
      </c>
      <c r="J3" s="127">
        <f t="shared" ref="J3:J6" si="2">I3/$I$7</f>
        <v>0.859357909150025</v>
      </c>
      <c r="K3" s="29">
        <f t="shared" ref="K3:K22" si="3">I3-G3</f>
        <v>44764.6</v>
      </c>
      <c r="L3" s="127">
        <f t="shared" ref="L3:L25" si="4">I3/G3</f>
        <v>1.09947688888889</v>
      </c>
      <c r="M3" s="127">
        <f t="shared" ref="M3:M25" si="5">I3/E3</f>
        <v>1.09947688888889</v>
      </c>
    </row>
    <row r="4" s="103" customFormat="1" ht="18" customHeight="1" spans="1:18">
      <c r="A4" s="122"/>
      <c r="B4" s="123" t="s">
        <v>15</v>
      </c>
      <c r="C4" s="128" t="s">
        <v>16</v>
      </c>
      <c r="D4" s="125"/>
      <c r="E4" s="33">
        <v>35100</v>
      </c>
      <c r="F4" s="126">
        <f t="shared" si="0"/>
        <v>0.0665907797381901</v>
      </c>
      <c r="G4" s="33">
        <v>35100</v>
      </c>
      <c r="H4" s="127">
        <f t="shared" si="1"/>
        <v>0.0665907797381901</v>
      </c>
      <c r="I4" s="29">
        <v>39101.3</v>
      </c>
      <c r="J4" s="127">
        <f t="shared" si="2"/>
        <v>0.0679151487657926</v>
      </c>
      <c r="K4" s="29">
        <f t="shared" si="3"/>
        <v>4001.3</v>
      </c>
      <c r="L4" s="127">
        <f t="shared" si="4"/>
        <v>1.11399715099715</v>
      </c>
      <c r="M4" s="127">
        <f t="shared" si="5"/>
        <v>1.11399715099715</v>
      </c>
      <c r="O4" s="103" t="s">
        <v>17</v>
      </c>
    </row>
    <row r="5" s="103" customFormat="1" ht="18" customHeight="1" spans="1:18">
      <c r="A5" s="122"/>
      <c r="B5" s="123" t="s">
        <v>18</v>
      </c>
      <c r="C5" s="128" t="s">
        <v>19</v>
      </c>
      <c r="D5" s="125"/>
      <c r="E5" s="33">
        <v>0</v>
      </c>
      <c r="F5" s="126">
        <f t="shared" si="0"/>
        <v>0</v>
      </c>
      <c r="G5" s="33">
        <v>0</v>
      </c>
      <c r="H5" s="127">
        <f t="shared" si="1"/>
        <v>0</v>
      </c>
      <c r="I5" s="29">
        <v>3000</v>
      </c>
      <c r="J5" s="127">
        <f t="shared" si="2"/>
        <v>0.00521070773343541</v>
      </c>
      <c r="K5" s="29">
        <f t="shared" si="3"/>
        <v>3000</v>
      </c>
      <c r="L5" s="127" t="e">
        <f t="shared" si="4"/>
        <v>#DIV/0!</v>
      </c>
      <c r="M5" s="127" t="e">
        <f t="shared" si="5"/>
        <v>#DIV/0!</v>
      </c>
    </row>
    <row r="6" s="103" customFormat="1" ht="18" customHeight="1" spans="1:18">
      <c r="A6" s="129"/>
      <c r="B6" s="123" t="s">
        <v>20</v>
      </c>
      <c r="C6" s="128" t="s">
        <v>21</v>
      </c>
      <c r="D6" s="125"/>
      <c r="E6" s="33">
        <v>42000</v>
      </c>
      <c r="F6" s="126">
        <f t="shared" si="0"/>
        <v>0.0796812749003984</v>
      </c>
      <c r="G6" s="33">
        <v>42000</v>
      </c>
      <c r="H6" s="127">
        <f t="shared" si="1"/>
        <v>0.0796812749003984</v>
      </c>
      <c r="I6" s="29">
        <v>38871.63</v>
      </c>
      <c r="J6" s="127">
        <f t="shared" si="2"/>
        <v>0.0675162343507466</v>
      </c>
      <c r="K6" s="29">
        <f t="shared" si="3"/>
        <v>-3128.37</v>
      </c>
      <c r="L6" s="127">
        <f t="shared" si="4"/>
        <v>0.925515</v>
      </c>
      <c r="M6" s="127">
        <f t="shared" si="5"/>
        <v>0.925515</v>
      </c>
    </row>
    <row r="7" s="103" customFormat="1" ht="18" customHeight="1" spans="1:18">
      <c r="A7" s="130"/>
      <c r="B7" s="131" t="s">
        <v>22</v>
      </c>
      <c r="C7" s="131" t="s">
        <v>23</v>
      </c>
      <c r="D7" s="132" t="s">
        <v>24</v>
      </c>
      <c r="E7" s="133">
        <f t="shared" ref="E7:J7" si="6">SUM(E3:E6)</f>
        <v>527100</v>
      </c>
      <c r="F7" s="134">
        <f t="shared" si="6"/>
        <v>1</v>
      </c>
      <c r="G7" s="33">
        <f t="shared" si="6"/>
        <v>527100</v>
      </c>
      <c r="H7" s="135">
        <f t="shared" si="6"/>
        <v>1</v>
      </c>
      <c r="I7" s="33">
        <f t="shared" si="6"/>
        <v>575737.53</v>
      </c>
      <c r="J7" s="135">
        <f t="shared" si="6"/>
        <v>1</v>
      </c>
      <c r="K7" s="133">
        <f t="shared" si="3"/>
        <v>48637.53</v>
      </c>
      <c r="L7" s="135">
        <f t="shared" si="4"/>
        <v>1.09227381900968</v>
      </c>
      <c r="M7" s="135">
        <f t="shared" si="5"/>
        <v>1.09227381900968</v>
      </c>
    </row>
    <row r="8" s="103" customFormat="1" ht="18" customHeight="1" spans="1:18">
      <c r="A8" s="136" t="s">
        <v>25</v>
      </c>
      <c r="B8" s="137" t="s">
        <v>26</v>
      </c>
      <c r="C8" s="138" t="s">
        <v>27</v>
      </c>
      <c r="D8" s="139"/>
      <c r="E8" s="48">
        <v>179576.868932039</v>
      </c>
      <c r="F8" s="140">
        <f t="shared" ref="F8:F13" si="7">E8/$E$7</f>
        <v>0.3406884252173</v>
      </c>
      <c r="G8" s="48">
        <v>179576.868932039</v>
      </c>
      <c r="H8" s="141">
        <f t="shared" ref="H8:H12" si="8">G8/$G$7</f>
        <v>0.3406884252173</v>
      </c>
      <c r="I8" s="47">
        <v>197590.78</v>
      </c>
      <c r="J8" s="127">
        <f t="shared" ref="J8:J12" si="9">I8/$I$7</f>
        <v>0.343195935133845</v>
      </c>
      <c r="K8" s="29">
        <f t="shared" si="3"/>
        <v>18013.911067961</v>
      </c>
      <c r="L8" s="127">
        <f t="shared" si="4"/>
        <v>1.10031309252183</v>
      </c>
      <c r="M8" s="127">
        <f t="shared" si="5"/>
        <v>1.10031309252183</v>
      </c>
      <c r="Q8" s="103" t="s">
        <v>17</v>
      </c>
    </row>
    <row r="9" s="103" customFormat="1" ht="18" customHeight="1" spans="1:18">
      <c r="A9" s="136"/>
      <c r="B9" s="137" t="s">
        <v>28</v>
      </c>
      <c r="C9" s="138" t="s">
        <v>29</v>
      </c>
      <c r="D9" s="139"/>
      <c r="E9" s="48">
        <v>8775</v>
      </c>
      <c r="F9" s="140">
        <f t="shared" si="7"/>
        <v>0.0166476949345475</v>
      </c>
      <c r="G9" s="48">
        <v>8775</v>
      </c>
      <c r="H9" s="141">
        <f t="shared" si="8"/>
        <v>0.0166476949345475</v>
      </c>
      <c r="I9" s="47">
        <v>11570.14</v>
      </c>
      <c r="J9" s="127">
        <f t="shared" si="9"/>
        <v>0.0200962059916434</v>
      </c>
      <c r="K9" s="29">
        <f t="shared" si="3"/>
        <v>2795.14</v>
      </c>
      <c r="L9" s="127">
        <f t="shared" si="4"/>
        <v>1.31853447293447</v>
      </c>
      <c r="M9" s="127">
        <f t="shared" si="5"/>
        <v>1.31853447293447</v>
      </c>
    </row>
    <row r="10" s="103" customFormat="1" ht="18" customHeight="1" spans="1:18">
      <c r="A10" s="136"/>
      <c r="B10" s="137" t="s">
        <v>30</v>
      </c>
      <c r="C10" s="138" t="s">
        <v>31</v>
      </c>
      <c r="D10" s="139"/>
      <c r="E10" s="49">
        <v>21000</v>
      </c>
      <c r="F10" s="140">
        <f t="shared" si="7"/>
        <v>0.0398406374501992</v>
      </c>
      <c r="G10" s="49">
        <v>21000</v>
      </c>
      <c r="H10" s="141">
        <f t="shared" si="8"/>
        <v>0.0398406374501992</v>
      </c>
      <c r="I10" s="47">
        <v>17596.37</v>
      </c>
      <c r="J10" s="127">
        <f t="shared" si="9"/>
        <v>0.0305631804131303</v>
      </c>
      <c r="K10" s="29">
        <f t="shared" si="3"/>
        <v>-3403.63</v>
      </c>
      <c r="L10" s="127">
        <f t="shared" si="4"/>
        <v>0.837922380952381</v>
      </c>
      <c r="M10" s="127">
        <f t="shared" si="5"/>
        <v>0.837922380952381</v>
      </c>
    </row>
    <row r="11" s="103" customFormat="1" ht="18" customHeight="1" spans="1:18">
      <c r="A11" s="136"/>
      <c r="B11" s="137" t="s">
        <v>32</v>
      </c>
      <c r="C11" s="138" t="s">
        <v>33</v>
      </c>
      <c r="D11" s="139"/>
      <c r="E11" s="48">
        <v>22500</v>
      </c>
      <c r="F11" s="140">
        <f t="shared" si="7"/>
        <v>0.0426863972680706</v>
      </c>
      <c r="G11" s="48">
        <v>22500</v>
      </c>
      <c r="H11" s="141">
        <f t="shared" si="8"/>
        <v>0.0426863972680706</v>
      </c>
      <c r="I11" s="47">
        <v>24757.05</v>
      </c>
      <c r="J11" s="127">
        <f t="shared" si="9"/>
        <v>0.0430005839640157</v>
      </c>
      <c r="K11" s="29">
        <f t="shared" si="3"/>
        <v>2257.05</v>
      </c>
      <c r="L11" s="127">
        <f t="shared" si="4"/>
        <v>1.10031333333333</v>
      </c>
      <c r="M11" s="127">
        <f t="shared" si="5"/>
        <v>1.10031333333333</v>
      </c>
    </row>
    <row r="12" s="103" customFormat="1" ht="18" customHeight="1" spans="1:18">
      <c r="A12" s="136"/>
      <c r="B12" s="137" t="s">
        <v>34</v>
      </c>
      <c r="C12" s="138" t="s">
        <v>35</v>
      </c>
      <c r="D12" s="139"/>
      <c r="E12" s="28">
        <v>5000</v>
      </c>
      <c r="F12" s="140">
        <f t="shared" si="7"/>
        <v>0.00948586605957124</v>
      </c>
      <c r="G12" s="28">
        <v>5000</v>
      </c>
      <c r="H12" s="141">
        <f t="shared" si="8"/>
        <v>0.00948586605957124</v>
      </c>
      <c r="I12" s="47">
        <v>8063</v>
      </c>
      <c r="J12" s="127">
        <f t="shared" si="9"/>
        <v>0.0140046454848966</v>
      </c>
      <c r="K12" s="29">
        <f t="shared" si="3"/>
        <v>3063</v>
      </c>
      <c r="L12" s="127">
        <f t="shared" si="4"/>
        <v>1.6126</v>
      </c>
      <c r="M12" s="127">
        <f t="shared" si="5"/>
        <v>1.6126</v>
      </c>
    </row>
    <row r="13" s="103" customFormat="1" ht="18" customHeight="1" spans="1:18">
      <c r="A13" s="136"/>
      <c r="B13" s="137" t="s">
        <v>36</v>
      </c>
      <c r="C13" s="142" t="s">
        <v>37</v>
      </c>
      <c r="D13" s="143" t="s">
        <v>38</v>
      </c>
      <c r="E13" s="144">
        <f t="shared" ref="E13:I13" si="10">SUM(E8:E12)</f>
        <v>236851.868932039</v>
      </c>
      <c r="F13" s="140">
        <f t="shared" si="7"/>
        <v>0.449349020929689</v>
      </c>
      <c r="G13" s="144">
        <f t="shared" si="10"/>
        <v>236851.868932039</v>
      </c>
      <c r="H13" s="141">
        <f t="shared" si="10"/>
        <v>0.449349020929689</v>
      </c>
      <c r="I13" s="47">
        <f t="shared" si="10"/>
        <v>259577.34</v>
      </c>
      <c r="J13" s="127">
        <f>SUM(J8:J10)</f>
        <v>0.393855321538618</v>
      </c>
      <c r="K13" s="29">
        <f t="shared" si="3"/>
        <v>22725.471067961</v>
      </c>
      <c r="L13" s="127">
        <f t="shared" si="4"/>
        <v>1.09594803355544</v>
      </c>
      <c r="M13" s="127">
        <f t="shared" si="5"/>
        <v>1.09594803355544</v>
      </c>
      <c r="Q13" s="103" t="s">
        <v>17</v>
      </c>
      <c r="R13" s="103" t="s">
        <v>17</v>
      </c>
    </row>
    <row r="14" s="103" customFormat="1" ht="18" customHeight="1" spans="1:18">
      <c r="A14" s="145" t="s">
        <v>39</v>
      </c>
      <c r="B14" s="131" t="s">
        <v>40</v>
      </c>
      <c r="C14" s="146"/>
      <c r="D14" s="147" t="s">
        <v>41</v>
      </c>
      <c r="E14" s="148">
        <f t="shared" ref="E14:I14" si="11">E7-E13</f>
        <v>290248.131067961</v>
      </c>
      <c r="F14" s="149">
        <f t="shared" ref="F14:J14" si="12">E14/E7</f>
        <v>0.550650979070311</v>
      </c>
      <c r="G14" s="148">
        <f t="shared" si="11"/>
        <v>290248.131067961</v>
      </c>
      <c r="H14" s="149">
        <f t="shared" si="12"/>
        <v>0.550650979070311</v>
      </c>
      <c r="I14" s="148">
        <f t="shared" si="11"/>
        <v>316160.19</v>
      </c>
      <c r="J14" s="134">
        <f t="shared" si="12"/>
        <v>0.549139449012469</v>
      </c>
      <c r="K14" s="133">
        <f t="shared" si="3"/>
        <v>25912.058932039</v>
      </c>
      <c r="L14" s="135">
        <f t="shared" si="4"/>
        <v>1.08927554102311</v>
      </c>
      <c r="M14" s="135">
        <f t="shared" si="5"/>
        <v>1.08927554102311</v>
      </c>
    </row>
    <row r="15" s="103" customFormat="1" ht="18" customHeight="1" spans="1:18">
      <c r="A15" s="122" t="s">
        <v>42</v>
      </c>
      <c r="B15" s="123" t="s">
        <v>43</v>
      </c>
      <c r="C15" s="150" t="s">
        <v>44</v>
      </c>
      <c r="D15" s="125"/>
      <c r="E15" s="28">
        <v>71666.67</v>
      </c>
      <c r="F15" s="126">
        <f t="shared" ref="F15:F18" si="13">E15/$E$7</f>
        <v>0.135964086511098</v>
      </c>
      <c r="G15" s="28">
        <v>71666.67</v>
      </c>
      <c r="H15" s="127">
        <f t="shared" ref="H15:H18" si="14">G15/$G$7</f>
        <v>0.135964086511098</v>
      </c>
      <c r="I15" s="29">
        <v>54479.22</v>
      </c>
      <c r="J15" s="127">
        <f t="shared" ref="J15:J18" si="15">I15/$I$7</f>
        <v>0.0946250976551763</v>
      </c>
      <c r="K15" s="29">
        <f t="shared" si="3"/>
        <v>-17187.45</v>
      </c>
      <c r="L15" s="127">
        <f t="shared" si="4"/>
        <v>0.760175127433715</v>
      </c>
      <c r="M15" s="127">
        <f t="shared" si="5"/>
        <v>0.760175127433715</v>
      </c>
    </row>
    <row r="16" s="103" customFormat="1" ht="18" customHeight="1" spans="1:18">
      <c r="A16" s="122"/>
      <c r="B16" s="123" t="s">
        <v>45</v>
      </c>
      <c r="C16" s="150" t="s">
        <v>46</v>
      </c>
      <c r="D16" s="125"/>
      <c r="E16" s="49">
        <v>11000</v>
      </c>
      <c r="F16" s="126">
        <f t="shared" si="13"/>
        <v>0.0208689053310567</v>
      </c>
      <c r="G16" s="49">
        <v>11000</v>
      </c>
      <c r="H16" s="127">
        <f t="shared" si="14"/>
        <v>0.0208689053310567</v>
      </c>
      <c r="I16" s="29">
        <v>6300</v>
      </c>
      <c r="J16" s="127">
        <f t="shared" si="15"/>
        <v>0.0109424862402144</v>
      </c>
      <c r="K16" s="29">
        <f t="shared" si="3"/>
        <v>-4700</v>
      </c>
      <c r="L16" s="127">
        <f t="shared" si="4"/>
        <v>0.572727272727273</v>
      </c>
      <c r="M16" s="127">
        <f t="shared" si="5"/>
        <v>0.572727272727273</v>
      </c>
    </row>
    <row r="17" s="103" customFormat="1" ht="18" customHeight="1" spans="1:18">
      <c r="A17" s="122"/>
      <c r="B17" s="123" t="s">
        <v>47</v>
      </c>
      <c r="C17" s="150" t="s">
        <v>48</v>
      </c>
      <c r="D17" s="125"/>
      <c r="E17" s="49">
        <v>36250</v>
      </c>
      <c r="F17" s="126">
        <f t="shared" si="13"/>
        <v>0.0687725289318915</v>
      </c>
      <c r="G17" s="49">
        <v>36250</v>
      </c>
      <c r="H17" s="127">
        <f t="shared" si="14"/>
        <v>0.0687725289318915</v>
      </c>
      <c r="I17" s="54">
        <v>32464.53</v>
      </c>
      <c r="J17" s="127">
        <f t="shared" si="15"/>
        <v>0.0563877258444486</v>
      </c>
      <c r="K17" s="29">
        <f t="shared" si="3"/>
        <v>-3785.47</v>
      </c>
      <c r="L17" s="127">
        <f t="shared" si="4"/>
        <v>0.89557324137931</v>
      </c>
      <c r="M17" s="127">
        <f t="shared" si="5"/>
        <v>0.89557324137931</v>
      </c>
      <c r="P17" s="103" t="s">
        <v>17</v>
      </c>
    </row>
    <row r="18" s="103" customFormat="1" ht="18" customHeight="1" spans="1:18">
      <c r="A18" s="122"/>
      <c r="B18" s="123" t="s">
        <v>49</v>
      </c>
      <c r="C18" s="150" t="s">
        <v>50</v>
      </c>
      <c r="D18" s="125"/>
      <c r="E18" s="56">
        <v>800</v>
      </c>
      <c r="F18" s="126">
        <f t="shared" si="13"/>
        <v>0.0015177385695314</v>
      </c>
      <c r="G18" s="56">
        <v>800</v>
      </c>
      <c r="H18" s="127">
        <f t="shared" si="14"/>
        <v>0.0015177385695314</v>
      </c>
      <c r="I18" s="29">
        <v>1157.72</v>
      </c>
      <c r="J18" s="127">
        <f t="shared" si="15"/>
        <v>0.00201084685238428</v>
      </c>
      <c r="K18" s="29">
        <f t="shared" si="3"/>
        <v>357.72</v>
      </c>
      <c r="L18" s="127">
        <f t="shared" si="4"/>
        <v>1.44715</v>
      </c>
      <c r="M18" s="127">
        <f t="shared" si="5"/>
        <v>1.44715</v>
      </c>
    </row>
    <row r="19" s="103" customFormat="1" ht="18" customHeight="1" spans="1:18">
      <c r="A19" s="145" t="s">
        <v>51</v>
      </c>
      <c r="B19" s="151" t="s">
        <v>52</v>
      </c>
      <c r="C19" s="152" t="s">
        <v>51</v>
      </c>
      <c r="D19" s="132" t="s">
        <v>53</v>
      </c>
      <c r="E19" s="133">
        <f t="shared" ref="E19:I19" si="16">SUM(E15:E18)</f>
        <v>119716.67</v>
      </c>
      <c r="F19" s="153"/>
      <c r="G19" s="133">
        <f t="shared" si="16"/>
        <v>119716.67</v>
      </c>
      <c r="H19" s="154"/>
      <c r="I19" s="133">
        <f t="shared" si="16"/>
        <v>94401.47</v>
      </c>
      <c r="J19" s="154"/>
      <c r="K19" s="133">
        <f t="shared" si="3"/>
        <v>-25315.2</v>
      </c>
      <c r="L19" s="135">
        <f t="shared" si="4"/>
        <v>0.788540727034923</v>
      </c>
      <c r="M19" s="135">
        <f t="shared" si="5"/>
        <v>0.788540727034923</v>
      </c>
    </row>
    <row r="20" s="103" customFormat="1" ht="18" customHeight="1" spans="1:18">
      <c r="A20" s="155" t="s">
        <v>54</v>
      </c>
      <c r="B20" s="131" t="s">
        <v>55</v>
      </c>
      <c r="C20" s="131" t="s">
        <v>56</v>
      </c>
      <c r="D20" s="132" t="s">
        <v>57</v>
      </c>
      <c r="E20" s="133">
        <f t="shared" ref="E20:I20" si="17">E14-E19</f>
        <v>170531.461067961</v>
      </c>
      <c r="F20" s="156"/>
      <c r="G20" s="133">
        <f t="shared" si="17"/>
        <v>170531.461067961</v>
      </c>
      <c r="H20" s="154"/>
      <c r="I20" s="133">
        <f t="shared" si="17"/>
        <v>221758.72</v>
      </c>
      <c r="J20" s="154"/>
      <c r="K20" s="133">
        <f t="shared" si="3"/>
        <v>51227.258932039</v>
      </c>
      <c r="L20" s="135">
        <f t="shared" si="4"/>
        <v>1.30039770146357</v>
      </c>
      <c r="M20" s="135">
        <f t="shared" si="5"/>
        <v>1.30039770146357</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v>2449</v>
      </c>
      <c r="J22" s="159"/>
      <c r="K22" s="29">
        <f t="shared" si="3"/>
        <v>-399</v>
      </c>
      <c r="L22" s="127">
        <f t="shared" si="4"/>
        <v>0.859901685393258</v>
      </c>
      <c r="M22" s="127">
        <f t="shared" si="5"/>
        <v>0.859901685393258</v>
      </c>
    </row>
    <row r="23" s="103" customFormat="1" ht="18" customHeight="1" spans="1:18">
      <c r="A23" s="145" t="s">
        <v>66</v>
      </c>
      <c r="B23" s="131" t="s">
        <v>67</v>
      </c>
      <c r="C23" s="131" t="s">
        <v>68</v>
      </c>
      <c r="D23" s="132" t="s">
        <v>69</v>
      </c>
      <c r="E23" s="133">
        <f t="shared" ref="E23:I23" si="18">E20/E22</f>
        <v>59.8776197570088</v>
      </c>
      <c r="F23" s="160"/>
      <c r="G23" s="133">
        <f t="shared" si="18"/>
        <v>59.8776197570088</v>
      </c>
      <c r="H23" s="154"/>
      <c r="I23" s="133">
        <f t="shared" si="18"/>
        <v>90.5507227439771</v>
      </c>
      <c r="J23" s="154"/>
      <c r="K23" s="133"/>
      <c r="L23" s="135">
        <f t="shared" si="4"/>
        <v>1.51226323142843</v>
      </c>
      <c r="M23" s="135">
        <f t="shared" si="5"/>
        <v>1.51226323142843</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40546.1538461538</v>
      </c>
      <c r="F25" s="158"/>
      <c r="G25" s="29">
        <f t="shared" si="19"/>
        <v>40546.1538461538</v>
      </c>
      <c r="H25" s="159"/>
      <c r="I25" s="29">
        <f t="shared" si="19"/>
        <v>44287.5023076923</v>
      </c>
      <c r="J25" s="159"/>
      <c r="K25" s="29"/>
      <c r="L25" s="127">
        <f t="shared" si="4"/>
        <v>1.09227381900968</v>
      </c>
      <c r="M25" s="127">
        <f t="shared" si="5"/>
        <v>1.09227381900968</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68000</v>
      </c>
      <c r="F27" s="158"/>
      <c r="G27" s="166">
        <v>68000</v>
      </c>
      <c r="H27" s="159"/>
      <c r="I27" s="166">
        <v>73196.21</v>
      </c>
      <c r="J27" s="159"/>
      <c r="K27" s="166">
        <f t="shared" ref="K27:K30" si="20">I27-G27</f>
        <v>5196.21000000001</v>
      </c>
      <c r="L27" s="127">
        <f t="shared" ref="L27:L30" si="21">I27/G27</f>
        <v>1.07641485294118</v>
      </c>
      <c r="M27" s="127">
        <f t="shared" ref="M27:M30" si="22">I27/E27</f>
        <v>1.07641485294118</v>
      </c>
    </row>
    <row r="28" s="103" customFormat="1" ht="18" customHeight="1" spans="1:18">
      <c r="A28" s="136"/>
      <c r="B28" s="167" t="s">
        <v>81</v>
      </c>
      <c r="C28" s="165" t="s">
        <v>82</v>
      </c>
      <c r="D28" s="125" t="s">
        <v>83</v>
      </c>
      <c r="E28" s="158">
        <f t="shared" ref="E28:I28" si="23">E20-E27</f>
        <v>102531.461067961</v>
      </c>
      <c r="F28" s="158"/>
      <c r="G28" s="158">
        <f t="shared" si="23"/>
        <v>102531.461067961</v>
      </c>
      <c r="H28" s="159" t="s">
        <v>62</v>
      </c>
      <c r="I28" s="158">
        <f t="shared" si="23"/>
        <v>148562.51</v>
      </c>
      <c r="J28" s="159" t="s">
        <v>62</v>
      </c>
      <c r="K28" s="166">
        <f t="shared" si="20"/>
        <v>46031.048932039</v>
      </c>
      <c r="L28" s="127">
        <f t="shared" si="21"/>
        <v>1.448945606086</v>
      </c>
      <c r="M28" s="127">
        <f t="shared" si="22"/>
        <v>1.448945606086</v>
      </c>
    </row>
    <row r="29" s="103" customFormat="1" ht="18" customHeight="1" spans="1:18">
      <c r="A29" s="136"/>
      <c r="B29" s="167" t="s">
        <v>84</v>
      </c>
      <c r="C29" s="123" t="s">
        <v>85</v>
      </c>
      <c r="D29" s="125" t="s">
        <v>86</v>
      </c>
      <c r="E29" s="168">
        <f t="shared" ref="E29:I29" si="24">E28/E7*100%</f>
        <v>0.194519941316564</v>
      </c>
      <c r="F29" s="158"/>
      <c r="G29" s="168">
        <f t="shared" si="24"/>
        <v>0.194519941316564</v>
      </c>
      <c r="H29" s="159" t="s">
        <v>62</v>
      </c>
      <c r="I29" s="168">
        <f t="shared" si="24"/>
        <v>0.258038606585192</v>
      </c>
      <c r="J29" s="159" t="s">
        <v>62</v>
      </c>
      <c r="K29" s="166">
        <f t="shared" si="20"/>
        <v>0.0635186652686275</v>
      </c>
      <c r="L29" s="127">
        <f t="shared" si="21"/>
        <v>1.3265406355704</v>
      </c>
      <c r="M29" s="127">
        <f t="shared" si="22"/>
        <v>1.3265406355704</v>
      </c>
    </row>
    <row r="30" s="104" customFormat="1" ht="13.5" spans="1:18">
      <c r="A30" s="136"/>
      <c r="B30" s="167" t="s">
        <v>87</v>
      </c>
      <c r="C30" s="123" t="s">
        <v>88</v>
      </c>
      <c r="D30" s="125" t="s">
        <v>89</v>
      </c>
      <c r="E30" s="169">
        <f t="shared" ref="E30:I30" si="25">E27/E22</f>
        <v>23.876404494382</v>
      </c>
      <c r="F30" s="158"/>
      <c r="G30" s="158">
        <f t="shared" si="25"/>
        <v>23.876404494382</v>
      </c>
      <c r="H30" s="159" t="s">
        <v>62</v>
      </c>
      <c r="I30" s="158">
        <f t="shared" si="25"/>
        <v>29.8882033483054</v>
      </c>
      <c r="J30" s="159" t="s">
        <v>62</v>
      </c>
      <c r="K30" s="166">
        <f t="shared" si="20"/>
        <v>6.01179885392341</v>
      </c>
      <c r="L30" s="127">
        <f t="shared" si="21"/>
        <v>1.25178828141138</v>
      </c>
      <c r="M30" s="127">
        <f t="shared" si="22"/>
        <v>1.25178828141138</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rintOptions verticalCentered="1"/>
  <pageMargins left="0.196527777777778" right="0.196527777777778" top="0" bottom="0" header="0.5" footer="0.5"/>
  <pageSetup paperSize="9" orientation="landscape" horizont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tabSelected="1" workbookViewId="0">
      <selection activeCell="R4" sqref="R4"/>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92</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300000</v>
      </c>
      <c r="F3" s="126">
        <f t="shared" ref="F3:F6" si="0">E3/$E$7</f>
        <v>0.821018062397373</v>
      </c>
      <c r="G3" s="33">
        <v>300000</v>
      </c>
      <c r="H3" s="127">
        <f t="shared" ref="H3:H6" si="1">G3/$G$7</f>
        <v>0.821018062397373</v>
      </c>
      <c r="I3" s="29"/>
      <c r="J3" s="127" t="e">
        <f t="shared" ref="J3:J6" si="2">I3/$I$7</f>
        <v>#DIV/0!</v>
      </c>
      <c r="K3" s="29">
        <f t="shared" ref="K3:K22" si="3">I3-G3</f>
        <v>-300000</v>
      </c>
      <c r="L3" s="127">
        <f t="shared" ref="L3:L25" si="4">I3/G3</f>
        <v>0</v>
      </c>
      <c r="M3" s="127">
        <f t="shared" ref="M3:M25" si="5">I3/E3</f>
        <v>0</v>
      </c>
    </row>
    <row r="4" s="103" customFormat="1" ht="18" customHeight="1" spans="1:18">
      <c r="A4" s="122"/>
      <c r="B4" s="123" t="s">
        <v>15</v>
      </c>
      <c r="C4" s="128" t="s">
        <v>16</v>
      </c>
      <c r="D4" s="125"/>
      <c r="E4" s="33">
        <v>23400</v>
      </c>
      <c r="F4" s="126">
        <f t="shared" si="0"/>
        <v>0.0640394088669951</v>
      </c>
      <c r="G4" s="33">
        <v>23400</v>
      </c>
      <c r="H4" s="127">
        <f t="shared" si="1"/>
        <v>0.0640394088669951</v>
      </c>
      <c r="I4" s="29"/>
      <c r="J4" s="127" t="e">
        <f t="shared" si="2"/>
        <v>#DIV/0!</v>
      </c>
      <c r="K4" s="29">
        <f t="shared" si="3"/>
        <v>-23400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42000</v>
      </c>
      <c r="F6" s="126">
        <f t="shared" si="0"/>
        <v>0.114942528735632</v>
      </c>
      <c r="G6" s="33">
        <v>42000</v>
      </c>
      <c r="H6" s="127">
        <f t="shared" si="1"/>
        <v>0.114942528735632</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365400</v>
      </c>
      <c r="F7" s="134">
        <f t="shared" si="6"/>
        <v>1</v>
      </c>
      <c r="G7" s="33">
        <f t="shared" si="6"/>
        <v>365400</v>
      </c>
      <c r="H7" s="135">
        <f t="shared" si="6"/>
        <v>1</v>
      </c>
      <c r="I7" s="33">
        <f t="shared" si="6"/>
        <v>0</v>
      </c>
      <c r="J7" s="135" t="e">
        <f t="shared" si="6"/>
        <v>#DIV/0!</v>
      </c>
      <c r="K7" s="133">
        <f t="shared" si="3"/>
        <v>-365400</v>
      </c>
      <c r="L7" s="135">
        <f t="shared" si="4"/>
        <v>0</v>
      </c>
      <c r="M7" s="135">
        <f t="shared" si="5"/>
        <v>0</v>
      </c>
    </row>
    <row r="8" s="103" customFormat="1" ht="18" customHeight="1" spans="1:18">
      <c r="A8" s="136" t="s">
        <v>25</v>
      </c>
      <c r="B8" s="137" t="s">
        <v>26</v>
      </c>
      <c r="C8" s="138" t="s">
        <v>27</v>
      </c>
      <c r="D8" s="139"/>
      <c r="E8" s="48">
        <v>119717.912621359</v>
      </c>
      <c r="F8" s="140">
        <f t="shared" ref="F8:F13" si="7">E8/$E$7</f>
        <v>0.327635228848821</v>
      </c>
      <c r="G8" s="48">
        <v>119717.912621359</v>
      </c>
      <c r="H8" s="141">
        <f t="shared" ref="H8:H12" si="8">G8/$G$7</f>
        <v>0.327635228848821</v>
      </c>
      <c r="I8" s="47"/>
      <c r="J8" s="127" t="e">
        <f t="shared" ref="J8:J12" si="9">I8/$I$7</f>
        <v>#DIV/0!</v>
      </c>
      <c r="K8" s="29">
        <f t="shared" si="3"/>
        <v>-119717.912621359</v>
      </c>
      <c r="L8" s="127">
        <f t="shared" si="4"/>
        <v>0</v>
      </c>
      <c r="M8" s="127">
        <f t="shared" si="5"/>
        <v>0</v>
      </c>
      <c r="Q8" s="103" t="s">
        <v>17</v>
      </c>
    </row>
    <row r="9" s="103" customFormat="1" ht="18" customHeight="1" spans="1:18">
      <c r="A9" s="136"/>
      <c r="B9" s="137" t="s">
        <v>28</v>
      </c>
      <c r="C9" s="138" t="s">
        <v>29</v>
      </c>
      <c r="D9" s="139"/>
      <c r="E9" s="48">
        <v>5850</v>
      </c>
      <c r="F9" s="140">
        <f t="shared" si="7"/>
        <v>0.0160098522167488</v>
      </c>
      <c r="G9" s="48">
        <v>5850</v>
      </c>
      <c r="H9" s="141">
        <f t="shared" si="8"/>
        <v>0.0160098522167488</v>
      </c>
      <c r="I9" s="47"/>
      <c r="J9" s="127" t="e">
        <f t="shared" si="9"/>
        <v>#DIV/0!</v>
      </c>
      <c r="K9" s="29">
        <f t="shared" si="3"/>
        <v>-5850</v>
      </c>
      <c r="L9" s="127">
        <f t="shared" si="4"/>
        <v>0</v>
      </c>
      <c r="M9" s="127">
        <f t="shared" si="5"/>
        <v>0</v>
      </c>
    </row>
    <row r="10" s="103" customFormat="1" ht="18" customHeight="1" spans="1:18">
      <c r="A10" s="136"/>
      <c r="B10" s="137" t="s">
        <v>30</v>
      </c>
      <c r="C10" s="138" t="s">
        <v>31</v>
      </c>
      <c r="D10" s="139"/>
      <c r="E10" s="49">
        <v>21000</v>
      </c>
      <c r="F10" s="140">
        <f t="shared" si="7"/>
        <v>0.0574712643678161</v>
      </c>
      <c r="G10" s="49">
        <v>21000</v>
      </c>
      <c r="H10" s="141">
        <f t="shared" si="8"/>
        <v>0.0574712643678161</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15000</v>
      </c>
      <c r="F11" s="140">
        <f t="shared" si="7"/>
        <v>0.0410509031198686</v>
      </c>
      <c r="G11" s="48">
        <v>15000</v>
      </c>
      <c r="H11" s="141">
        <f t="shared" si="8"/>
        <v>0.0410509031198686</v>
      </c>
      <c r="I11" s="47"/>
      <c r="J11" s="127" t="e">
        <f t="shared" si="9"/>
        <v>#DIV/0!</v>
      </c>
      <c r="K11" s="29">
        <f t="shared" si="3"/>
        <v>-15000</v>
      </c>
      <c r="L11" s="127">
        <f t="shared" si="4"/>
        <v>0</v>
      </c>
      <c r="M11" s="127">
        <f t="shared" si="5"/>
        <v>0</v>
      </c>
    </row>
    <row r="12" s="103" customFormat="1" ht="18" customHeight="1" spans="1:18">
      <c r="A12" s="136"/>
      <c r="B12" s="137" t="s">
        <v>34</v>
      </c>
      <c r="C12" s="138" t="s">
        <v>35</v>
      </c>
      <c r="D12" s="139"/>
      <c r="E12" s="28">
        <v>5000</v>
      </c>
      <c r="F12" s="140">
        <f t="shared" si="7"/>
        <v>0.0136836343732895</v>
      </c>
      <c r="G12" s="28">
        <v>5000</v>
      </c>
      <c r="H12" s="141">
        <f t="shared" si="8"/>
        <v>0.0136836343732895</v>
      </c>
      <c r="I12" s="47"/>
      <c r="J12" s="127" t="e">
        <f t="shared" si="9"/>
        <v>#DIV/0!</v>
      </c>
      <c r="K12" s="29">
        <f t="shared" si="3"/>
        <v>-5000</v>
      </c>
      <c r="L12" s="127">
        <f t="shared" si="4"/>
        <v>0</v>
      </c>
      <c r="M12" s="127">
        <f t="shared" si="5"/>
        <v>0</v>
      </c>
      <c r="R12" s="103" t="s">
        <v>17</v>
      </c>
    </row>
    <row r="13" s="103" customFormat="1" ht="18" customHeight="1" spans="1:18">
      <c r="A13" s="136"/>
      <c r="B13" s="137" t="s">
        <v>36</v>
      </c>
      <c r="C13" s="142" t="s">
        <v>37</v>
      </c>
      <c r="D13" s="143" t="s">
        <v>38</v>
      </c>
      <c r="E13" s="144">
        <f t="shared" ref="E13:I13" si="10">SUM(E8:E12)</f>
        <v>166567.912621359</v>
      </c>
      <c r="F13" s="140">
        <f t="shared" si="7"/>
        <v>0.455850882926544</v>
      </c>
      <c r="G13" s="144">
        <f t="shared" si="10"/>
        <v>166567.912621359</v>
      </c>
      <c r="H13" s="141">
        <f t="shared" si="10"/>
        <v>0.455850882926544</v>
      </c>
      <c r="I13" s="47">
        <f t="shared" si="10"/>
        <v>0</v>
      </c>
      <c r="J13" s="127" t="e">
        <f>SUM(J8:J10)</f>
        <v>#DIV/0!</v>
      </c>
      <c r="K13" s="29">
        <f t="shared" si="3"/>
        <v>-166567.912621359</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198832.087378641</v>
      </c>
      <c r="F14" s="149">
        <f t="shared" ref="F14:J14" si="12">E14/E7</f>
        <v>0.544149117073456</v>
      </c>
      <c r="G14" s="148">
        <f t="shared" si="11"/>
        <v>198832.087378641</v>
      </c>
      <c r="H14" s="149">
        <f t="shared" si="12"/>
        <v>0.544149117073456</v>
      </c>
      <c r="I14" s="148">
        <f t="shared" si="11"/>
        <v>0</v>
      </c>
      <c r="J14" s="134" t="e">
        <f t="shared" si="12"/>
        <v>#DIV/0!</v>
      </c>
      <c r="K14" s="133">
        <f t="shared" si="3"/>
        <v>-198832.087378641</v>
      </c>
      <c r="L14" s="135">
        <f t="shared" si="4"/>
        <v>0</v>
      </c>
      <c r="M14" s="135">
        <f t="shared" si="5"/>
        <v>0</v>
      </c>
    </row>
    <row r="15" s="103" customFormat="1" ht="18" customHeight="1" spans="1:18">
      <c r="A15" s="122" t="s">
        <v>42</v>
      </c>
      <c r="B15" s="123" t="s">
        <v>43</v>
      </c>
      <c r="C15" s="150" t="s">
        <v>44</v>
      </c>
      <c r="D15" s="125"/>
      <c r="E15" s="28">
        <v>71666.67</v>
      </c>
      <c r="F15" s="126">
        <f t="shared" ref="F15:F18" si="13">E15/$E$7</f>
        <v>0.19613210180624</v>
      </c>
      <c r="G15" s="28">
        <v>71666.67</v>
      </c>
      <c r="H15" s="127">
        <f t="shared" ref="H15:H18" si="14">G15/$G$7</f>
        <v>0.19613210180624</v>
      </c>
      <c r="I15" s="29"/>
      <c r="J15" s="127" t="e">
        <f t="shared" ref="J15:J18" si="15">I15/$I$7</f>
        <v>#DIV/0!</v>
      </c>
      <c r="K15" s="29">
        <f t="shared" si="3"/>
        <v>-71666.67</v>
      </c>
      <c r="L15" s="127">
        <f t="shared" si="4"/>
        <v>0</v>
      </c>
      <c r="M15" s="127">
        <f t="shared" si="5"/>
        <v>0</v>
      </c>
    </row>
    <row r="16" s="103" customFormat="1" ht="18" customHeight="1" spans="1:18">
      <c r="A16" s="122"/>
      <c r="B16" s="123" t="s">
        <v>45</v>
      </c>
      <c r="C16" s="150" t="s">
        <v>46</v>
      </c>
      <c r="D16" s="125"/>
      <c r="E16" s="49">
        <v>11000</v>
      </c>
      <c r="F16" s="126">
        <f t="shared" si="13"/>
        <v>0.030103995621237</v>
      </c>
      <c r="G16" s="49">
        <v>11000</v>
      </c>
      <c r="H16" s="127">
        <f t="shared" si="14"/>
        <v>0.030103995621237</v>
      </c>
      <c r="I16" s="29"/>
      <c r="J16" s="127" t="e">
        <f t="shared" si="15"/>
        <v>#DIV/0!</v>
      </c>
      <c r="K16" s="29">
        <f t="shared" si="3"/>
        <v>-11000</v>
      </c>
      <c r="L16" s="127">
        <f t="shared" si="4"/>
        <v>0</v>
      </c>
      <c r="M16" s="127">
        <f t="shared" si="5"/>
        <v>0</v>
      </c>
    </row>
    <row r="17" s="103" customFormat="1" ht="18" customHeight="1" spans="1:18">
      <c r="A17" s="122"/>
      <c r="B17" s="123" t="s">
        <v>47</v>
      </c>
      <c r="C17" s="150" t="s">
        <v>48</v>
      </c>
      <c r="D17" s="125"/>
      <c r="E17" s="49">
        <v>36250</v>
      </c>
      <c r="F17" s="126">
        <f t="shared" si="13"/>
        <v>0.0992063492063492</v>
      </c>
      <c r="G17" s="49">
        <v>36250</v>
      </c>
      <c r="H17" s="127">
        <f t="shared" si="14"/>
        <v>0.0992063492063492</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0.00218938149972633</v>
      </c>
      <c r="G18" s="56">
        <v>800</v>
      </c>
      <c r="H18" s="127">
        <f t="shared" si="14"/>
        <v>0.00218938149972633</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119716.67</v>
      </c>
      <c r="F19" s="153"/>
      <c r="G19" s="133">
        <f t="shared" si="16"/>
        <v>119716.67</v>
      </c>
      <c r="H19" s="154"/>
      <c r="I19" s="133">
        <f t="shared" si="16"/>
        <v>0</v>
      </c>
      <c r="J19" s="154"/>
      <c r="K19" s="133">
        <f t="shared" si="3"/>
        <v>-119716.67</v>
      </c>
      <c r="L19" s="135">
        <f t="shared" si="4"/>
        <v>0</v>
      </c>
      <c r="M19" s="135">
        <f t="shared" si="5"/>
        <v>0</v>
      </c>
    </row>
    <row r="20" s="103" customFormat="1" ht="18" customHeight="1" spans="1:18">
      <c r="A20" s="155" t="s">
        <v>54</v>
      </c>
      <c r="B20" s="131" t="s">
        <v>55</v>
      </c>
      <c r="C20" s="131" t="s">
        <v>56</v>
      </c>
      <c r="D20" s="132" t="s">
        <v>57</v>
      </c>
      <c r="E20" s="133">
        <f t="shared" ref="E20:I20" si="17">E14-E19</f>
        <v>79115.4173786408</v>
      </c>
      <c r="F20" s="156"/>
      <c r="G20" s="133">
        <f t="shared" si="17"/>
        <v>79115.4173786408</v>
      </c>
      <c r="H20" s="154"/>
      <c r="I20" s="133">
        <f t="shared" si="17"/>
        <v>0</v>
      </c>
      <c r="J20" s="154"/>
      <c r="K20" s="133">
        <f t="shared" si="3"/>
        <v>-79115.4173786408</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27.779289809916</v>
      </c>
      <c r="F23" s="160"/>
      <c r="G23" s="133">
        <f t="shared" si="18"/>
        <v>27.779289809916</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28107.6923076923</v>
      </c>
      <c r="F25" s="158"/>
      <c r="G25" s="29">
        <f t="shared" si="19"/>
        <v>28107.6923076923</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65000</v>
      </c>
      <c r="F27" s="158"/>
      <c r="G27" s="166">
        <v>65000</v>
      </c>
      <c r="H27" s="159"/>
      <c r="I27" s="166"/>
      <c r="J27" s="159"/>
      <c r="K27" s="166">
        <f t="shared" ref="K27:K30" si="20">I27-G27</f>
        <v>-65000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14115.4173786408</v>
      </c>
      <c r="F28" s="158"/>
      <c r="G28" s="158">
        <f t="shared" si="23"/>
        <v>14115.4173786408</v>
      </c>
      <c r="H28" s="159" t="s">
        <v>62</v>
      </c>
      <c r="I28" s="158">
        <f t="shared" si="23"/>
        <v>0</v>
      </c>
      <c r="J28" s="159" t="s">
        <v>62</v>
      </c>
      <c r="K28" s="166">
        <f t="shared" si="20"/>
        <v>-14115.4173786408</v>
      </c>
      <c r="L28" s="127">
        <f t="shared" si="21"/>
        <v>0</v>
      </c>
      <c r="M28" s="127">
        <f t="shared" si="22"/>
        <v>0</v>
      </c>
    </row>
    <row r="29" s="103" customFormat="1" ht="18" customHeight="1" spans="1:18">
      <c r="A29" s="136"/>
      <c r="B29" s="167" t="s">
        <v>84</v>
      </c>
      <c r="C29" s="123" t="s">
        <v>85</v>
      </c>
      <c r="D29" s="125" t="s">
        <v>86</v>
      </c>
      <c r="E29" s="168">
        <f t="shared" ref="E29:I29" si="24">E28/E7*100%</f>
        <v>0.0386300420871395</v>
      </c>
      <c r="F29" s="158"/>
      <c r="G29" s="168">
        <f t="shared" si="24"/>
        <v>0.0386300420871395</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22.8230337078652</v>
      </c>
      <c r="F30" s="158"/>
      <c r="G30" s="158">
        <f t="shared" si="25"/>
        <v>22.8230337078652</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E15" sqref="E15:E1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93</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450000</v>
      </c>
      <c r="F3" s="126">
        <f t="shared" ref="F3:F6" si="0">E3/$E$7</f>
        <v>0.837832805808974</v>
      </c>
      <c r="G3" s="33">
        <v>450000</v>
      </c>
      <c r="H3" s="127">
        <f t="shared" ref="H3:H6" si="1">G3/$G$7</f>
        <v>0.837832805808974</v>
      </c>
      <c r="I3" s="29"/>
      <c r="J3" s="127" t="e">
        <f t="shared" ref="J3:J6" si="2">I3/$I$7</f>
        <v>#DIV/0!</v>
      </c>
      <c r="K3" s="29">
        <f t="shared" ref="K3:K22" si="3">I3-G3</f>
        <v>-450000</v>
      </c>
      <c r="L3" s="127">
        <f t="shared" ref="L3:L25" si="4">I3/G3</f>
        <v>0</v>
      </c>
      <c r="M3" s="127">
        <f t="shared" ref="M3:M25" si="5">I3/E3</f>
        <v>0</v>
      </c>
    </row>
    <row r="4" s="103" customFormat="1" ht="18" customHeight="1" spans="1:18">
      <c r="A4" s="122"/>
      <c r="B4" s="123" t="s">
        <v>15</v>
      </c>
      <c r="C4" s="128" t="s">
        <v>16</v>
      </c>
      <c r="D4" s="125"/>
      <c r="E4" s="33">
        <v>35100</v>
      </c>
      <c r="F4" s="126">
        <f t="shared" si="0"/>
        <v>0.0653509588531</v>
      </c>
      <c r="G4" s="33">
        <v>35100</v>
      </c>
      <c r="H4" s="127">
        <f t="shared" si="1"/>
        <v>0.0653509588531</v>
      </c>
      <c r="I4" s="29"/>
      <c r="J4" s="127" t="e">
        <f t="shared" si="2"/>
        <v>#DIV/0!</v>
      </c>
      <c r="K4" s="29">
        <f t="shared" si="3"/>
        <v>-35100</v>
      </c>
      <c r="L4" s="127">
        <f t="shared" si="4"/>
        <v>0</v>
      </c>
      <c r="M4" s="127">
        <f t="shared" si="5"/>
        <v>0</v>
      </c>
      <c r="O4" s="103" t="s">
        <v>17</v>
      </c>
    </row>
    <row r="5" s="103" customFormat="1" ht="18" customHeight="1" spans="1:18">
      <c r="A5" s="122"/>
      <c r="B5" s="123" t="s">
        <v>18</v>
      </c>
      <c r="C5" s="128" t="s">
        <v>19</v>
      </c>
      <c r="D5" s="125"/>
      <c r="E5" s="33">
        <v>10000</v>
      </c>
      <c r="F5" s="126">
        <f t="shared" si="0"/>
        <v>0.018618506795755</v>
      </c>
      <c r="G5" s="33">
        <v>10000</v>
      </c>
      <c r="H5" s="127">
        <f t="shared" si="1"/>
        <v>0.018618506795755</v>
      </c>
      <c r="I5" s="29"/>
      <c r="J5" s="127" t="e">
        <f t="shared" si="2"/>
        <v>#DIV/0!</v>
      </c>
      <c r="K5" s="29">
        <f t="shared" si="3"/>
        <v>-10000</v>
      </c>
      <c r="L5" s="127">
        <f t="shared" si="4"/>
        <v>0</v>
      </c>
      <c r="M5" s="127">
        <f t="shared" si="5"/>
        <v>0</v>
      </c>
    </row>
    <row r="6" s="103" customFormat="1" ht="18" customHeight="1" spans="1:18">
      <c r="A6" s="129"/>
      <c r="B6" s="123" t="s">
        <v>20</v>
      </c>
      <c r="C6" s="128" t="s">
        <v>21</v>
      </c>
      <c r="D6" s="125"/>
      <c r="E6" s="33">
        <v>42000</v>
      </c>
      <c r="F6" s="126">
        <f t="shared" si="0"/>
        <v>0.0781977285421709</v>
      </c>
      <c r="G6" s="33">
        <v>42000</v>
      </c>
      <c r="H6" s="127">
        <f t="shared" si="1"/>
        <v>0.0781977285421709</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537100</v>
      </c>
      <c r="F7" s="134">
        <f t="shared" si="6"/>
        <v>1</v>
      </c>
      <c r="G7" s="33">
        <f t="shared" si="6"/>
        <v>537100</v>
      </c>
      <c r="H7" s="135">
        <f t="shared" si="6"/>
        <v>1</v>
      </c>
      <c r="I7" s="33">
        <f t="shared" si="6"/>
        <v>0</v>
      </c>
      <c r="J7" s="135" t="e">
        <f t="shared" si="6"/>
        <v>#DIV/0!</v>
      </c>
      <c r="K7" s="133">
        <f t="shared" si="3"/>
        <v>-537100</v>
      </c>
      <c r="L7" s="135">
        <f t="shared" si="4"/>
        <v>0</v>
      </c>
      <c r="M7" s="135">
        <f t="shared" si="5"/>
        <v>0</v>
      </c>
    </row>
    <row r="8" s="103" customFormat="1" ht="18" customHeight="1" spans="1:18">
      <c r="A8" s="136" t="s">
        <v>25</v>
      </c>
      <c r="B8" s="137" t="s">
        <v>26</v>
      </c>
      <c r="C8" s="138" t="s">
        <v>27</v>
      </c>
      <c r="D8" s="139"/>
      <c r="E8" s="48">
        <v>179576.868932039</v>
      </c>
      <c r="F8" s="140">
        <f t="shared" ref="F8:F13" si="7">E8/$E$7</f>
        <v>0.334345315457157</v>
      </c>
      <c r="G8" s="48">
        <v>179576.868932039</v>
      </c>
      <c r="H8" s="141">
        <f t="shared" ref="H8:H12" si="8">G8/$G$7</f>
        <v>0.334345315457157</v>
      </c>
      <c r="I8" s="47"/>
      <c r="J8" s="127" t="e">
        <f t="shared" ref="J8:J12" si="9">I8/$I$7</f>
        <v>#DIV/0!</v>
      </c>
      <c r="K8" s="29">
        <f t="shared" si="3"/>
        <v>-179576.868932039</v>
      </c>
      <c r="L8" s="127">
        <f t="shared" si="4"/>
        <v>0</v>
      </c>
      <c r="M8" s="127">
        <f t="shared" si="5"/>
        <v>0</v>
      </c>
      <c r="Q8" s="103" t="s">
        <v>17</v>
      </c>
    </row>
    <row r="9" s="103" customFormat="1" ht="18" customHeight="1" spans="1:18">
      <c r="A9" s="136"/>
      <c r="B9" s="137" t="s">
        <v>28</v>
      </c>
      <c r="C9" s="138" t="s">
        <v>29</v>
      </c>
      <c r="D9" s="139"/>
      <c r="E9" s="48">
        <v>8775</v>
      </c>
      <c r="F9" s="140">
        <f t="shared" si="7"/>
        <v>0.016337739713275</v>
      </c>
      <c r="G9" s="48">
        <v>8775</v>
      </c>
      <c r="H9" s="141">
        <f t="shared" si="8"/>
        <v>0.016337739713275</v>
      </c>
      <c r="I9" s="47"/>
      <c r="J9" s="127" t="e">
        <f t="shared" si="9"/>
        <v>#DIV/0!</v>
      </c>
      <c r="K9" s="29">
        <f t="shared" si="3"/>
        <v>-8775</v>
      </c>
      <c r="L9" s="127">
        <f t="shared" si="4"/>
        <v>0</v>
      </c>
      <c r="M9" s="127">
        <f t="shared" si="5"/>
        <v>0</v>
      </c>
    </row>
    <row r="10" s="103" customFormat="1" ht="18" customHeight="1" spans="1:18">
      <c r="A10" s="136"/>
      <c r="B10" s="137" t="s">
        <v>30</v>
      </c>
      <c r="C10" s="138" t="s">
        <v>31</v>
      </c>
      <c r="D10" s="139"/>
      <c r="E10" s="49">
        <v>21000</v>
      </c>
      <c r="F10" s="140">
        <f t="shared" si="7"/>
        <v>0.0390988642710855</v>
      </c>
      <c r="G10" s="49">
        <v>21000</v>
      </c>
      <c r="H10" s="141">
        <f t="shared" si="8"/>
        <v>0.0390988642710855</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22500</v>
      </c>
      <c r="F11" s="140">
        <f t="shared" si="7"/>
        <v>0.0418916402904487</v>
      </c>
      <c r="G11" s="48">
        <v>22500</v>
      </c>
      <c r="H11" s="141">
        <f t="shared" si="8"/>
        <v>0.0418916402904487</v>
      </c>
      <c r="I11" s="47"/>
      <c r="J11" s="127" t="e">
        <f t="shared" si="9"/>
        <v>#DIV/0!</v>
      </c>
      <c r="K11" s="29">
        <f t="shared" si="3"/>
        <v>-22500</v>
      </c>
      <c r="L11" s="127">
        <f t="shared" si="4"/>
        <v>0</v>
      </c>
      <c r="M11" s="127">
        <f t="shared" si="5"/>
        <v>0</v>
      </c>
    </row>
    <row r="12" s="103" customFormat="1" ht="18" customHeight="1" spans="1:18">
      <c r="A12" s="136"/>
      <c r="B12" s="137" t="s">
        <v>34</v>
      </c>
      <c r="C12" s="138" t="s">
        <v>35</v>
      </c>
      <c r="D12" s="139"/>
      <c r="E12" s="28">
        <v>8000</v>
      </c>
      <c r="F12" s="140">
        <f t="shared" si="7"/>
        <v>0.014894805436604</v>
      </c>
      <c r="G12" s="28">
        <v>8000</v>
      </c>
      <c r="H12" s="141">
        <f t="shared" si="8"/>
        <v>0.014894805436604</v>
      </c>
      <c r="I12" s="47"/>
      <c r="J12" s="127" t="e">
        <f t="shared" si="9"/>
        <v>#DIV/0!</v>
      </c>
      <c r="K12" s="29">
        <f t="shared" si="3"/>
        <v>-8000</v>
      </c>
      <c r="L12" s="127">
        <f t="shared" si="4"/>
        <v>0</v>
      </c>
      <c r="M12" s="127">
        <f t="shared" si="5"/>
        <v>0</v>
      </c>
    </row>
    <row r="13" s="103" customFormat="1" ht="18" customHeight="1" spans="1:18">
      <c r="A13" s="136"/>
      <c r="B13" s="137" t="s">
        <v>36</v>
      </c>
      <c r="C13" s="142" t="s">
        <v>37</v>
      </c>
      <c r="D13" s="143" t="s">
        <v>38</v>
      </c>
      <c r="E13" s="144">
        <f t="shared" ref="E13:I13" si="10">SUM(E8:E12)</f>
        <v>239851.868932039</v>
      </c>
      <c r="F13" s="140">
        <f t="shared" si="7"/>
        <v>0.44656836516857</v>
      </c>
      <c r="G13" s="144">
        <f t="shared" si="10"/>
        <v>239851.868932039</v>
      </c>
      <c r="H13" s="141">
        <f t="shared" si="10"/>
        <v>0.44656836516857</v>
      </c>
      <c r="I13" s="47">
        <f t="shared" si="10"/>
        <v>0</v>
      </c>
      <c r="J13" s="127" t="e">
        <f>SUM(J8:J10)</f>
        <v>#DIV/0!</v>
      </c>
      <c r="K13" s="29">
        <f t="shared" si="3"/>
        <v>-239851.868932039</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297248.131067961</v>
      </c>
      <c r="F14" s="149">
        <f t="shared" ref="F14:J14" si="12">E14/E7</f>
        <v>0.55343163483143</v>
      </c>
      <c r="G14" s="148">
        <f t="shared" si="11"/>
        <v>297248.131067961</v>
      </c>
      <c r="H14" s="149">
        <f t="shared" si="12"/>
        <v>0.55343163483143</v>
      </c>
      <c r="I14" s="148">
        <f t="shared" si="11"/>
        <v>0</v>
      </c>
      <c r="J14" s="134" t="e">
        <f t="shared" si="12"/>
        <v>#DIV/0!</v>
      </c>
      <c r="K14" s="133">
        <f t="shared" si="3"/>
        <v>-297248.131067961</v>
      </c>
      <c r="L14" s="135">
        <f t="shared" si="4"/>
        <v>0</v>
      </c>
      <c r="M14" s="135">
        <f t="shared" si="5"/>
        <v>0</v>
      </c>
    </row>
    <row r="15" s="103" customFormat="1" ht="18" customHeight="1" spans="1:18">
      <c r="A15" s="122" t="s">
        <v>42</v>
      </c>
      <c r="B15" s="123" t="s">
        <v>43</v>
      </c>
      <c r="C15" s="150" t="s">
        <v>44</v>
      </c>
      <c r="D15" s="125"/>
      <c r="E15" s="28">
        <v>72666.67</v>
      </c>
      <c r="F15" s="126">
        <f t="shared" ref="F15:F18" si="13">E15/$E$7</f>
        <v>0.135294488921988</v>
      </c>
      <c r="G15" s="28">
        <v>72666.67</v>
      </c>
      <c r="H15" s="127">
        <f t="shared" ref="H15:H18" si="14">G15/$G$7</f>
        <v>0.135294488921988</v>
      </c>
      <c r="I15" s="29"/>
      <c r="J15" s="127" t="e">
        <f t="shared" ref="J15:J18" si="15">I15/$I$7</f>
        <v>#DIV/0!</v>
      </c>
      <c r="K15" s="29">
        <f t="shared" si="3"/>
        <v>-72666.67</v>
      </c>
      <c r="L15" s="127">
        <f t="shared" si="4"/>
        <v>0</v>
      </c>
      <c r="M15" s="127">
        <f t="shared" si="5"/>
        <v>0</v>
      </c>
    </row>
    <row r="16" s="103" customFormat="1" ht="18" customHeight="1" spans="1:18">
      <c r="A16" s="122"/>
      <c r="B16" s="123" t="s">
        <v>45</v>
      </c>
      <c r="C16" s="150" t="s">
        <v>46</v>
      </c>
      <c r="D16" s="125"/>
      <c r="E16" s="49">
        <v>12000</v>
      </c>
      <c r="F16" s="126">
        <f t="shared" si="13"/>
        <v>0.022342208154906</v>
      </c>
      <c r="G16" s="49">
        <v>12000</v>
      </c>
      <c r="H16" s="127">
        <f t="shared" si="14"/>
        <v>0.022342208154906</v>
      </c>
      <c r="I16" s="29"/>
      <c r="J16" s="127" t="e">
        <f t="shared" si="15"/>
        <v>#DIV/0!</v>
      </c>
      <c r="K16" s="29">
        <f t="shared" si="3"/>
        <v>-12000</v>
      </c>
      <c r="L16" s="127">
        <f t="shared" si="4"/>
        <v>0</v>
      </c>
      <c r="M16" s="127">
        <f t="shared" si="5"/>
        <v>0</v>
      </c>
    </row>
    <row r="17" s="103" customFormat="1" ht="18" customHeight="1" spans="1:18">
      <c r="A17" s="122"/>
      <c r="B17" s="123" t="s">
        <v>47</v>
      </c>
      <c r="C17" s="150" t="s">
        <v>48</v>
      </c>
      <c r="D17" s="125"/>
      <c r="E17" s="49">
        <v>36250</v>
      </c>
      <c r="F17" s="126">
        <f t="shared" si="13"/>
        <v>0.0674920871346118</v>
      </c>
      <c r="G17" s="49">
        <v>36250</v>
      </c>
      <c r="H17" s="127">
        <f t="shared" si="14"/>
        <v>0.0674920871346118</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0.0014894805436604</v>
      </c>
      <c r="G18" s="56">
        <v>800</v>
      </c>
      <c r="H18" s="127">
        <f t="shared" si="14"/>
        <v>0.0014894805436604</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121716.67</v>
      </c>
      <c r="F19" s="153"/>
      <c r="G19" s="133">
        <f t="shared" si="16"/>
        <v>121716.67</v>
      </c>
      <c r="H19" s="154"/>
      <c r="I19" s="133">
        <f t="shared" si="16"/>
        <v>0</v>
      </c>
      <c r="J19" s="154"/>
      <c r="K19" s="133">
        <f t="shared" si="3"/>
        <v>-121716.67</v>
      </c>
      <c r="L19" s="135">
        <f t="shared" si="4"/>
        <v>0</v>
      </c>
      <c r="M19" s="135">
        <f t="shared" si="5"/>
        <v>0</v>
      </c>
    </row>
    <row r="20" s="103" customFormat="1" ht="18" customHeight="1" spans="1:18">
      <c r="A20" s="155" t="s">
        <v>54</v>
      </c>
      <c r="B20" s="131" t="s">
        <v>55</v>
      </c>
      <c r="C20" s="131" t="s">
        <v>56</v>
      </c>
      <c r="D20" s="132" t="s">
        <v>57</v>
      </c>
      <c r="E20" s="133">
        <f t="shared" ref="E20:I20" si="17">E14-E19</f>
        <v>175531.461067961</v>
      </c>
      <c r="F20" s="156"/>
      <c r="G20" s="133">
        <f t="shared" si="17"/>
        <v>175531.461067961</v>
      </c>
      <c r="H20" s="154"/>
      <c r="I20" s="133">
        <f t="shared" si="17"/>
        <v>0</v>
      </c>
      <c r="J20" s="154"/>
      <c r="K20" s="133">
        <f t="shared" si="3"/>
        <v>-175531.461067961</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v>2496.5</v>
      </c>
      <c r="J22" s="159"/>
      <c r="K22" s="29">
        <f t="shared" si="3"/>
        <v>-351.5</v>
      </c>
      <c r="L22" s="127">
        <f t="shared" si="4"/>
        <v>0.876580056179775</v>
      </c>
      <c r="M22" s="127">
        <f t="shared" si="5"/>
        <v>0.876580056179775</v>
      </c>
    </row>
    <row r="23" s="103" customFormat="1" ht="18" customHeight="1" spans="1:18">
      <c r="A23" s="145" t="s">
        <v>66</v>
      </c>
      <c r="B23" s="131" t="s">
        <v>67</v>
      </c>
      <c r="C23" s="131" t="s">
        <v>68</v>
      </c>
      <c r="D23" s="132" t="s">
        <v>69</v>
      </c>
      <c r="E23" s="133">
        <f t="shared" ref="E23:I23" si="18">E20/E22</f>
        <v>61.6332377345369</v>
      </c>
      <c r="F23" s="160"/>
      <c r="G23" s="133">
        <f t="shared" si="18"/>
        <v>61.6332377345369</v>
      </c>
      <c r="H23" s="154"/>
      <c r="I23" s="133">
        <f t="shared" si="18"/>
        <v>0</v>
      </c>
      <c r="J23" s="154"/>
      <c r="K23" s="133"/>
      <c r="L23" s="135">
        <f t="shared" si="4"/>
        <v>0</v>
      </c>
      <c r="M23" s="135">
        <f t="shared" si="5"/>
        <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41315.3846153846</v>
      </c>
      <c r="F25" s="158"/>
      <c r="G25" s="29">
        <f t="shared" si="19"/>
        <v>41315.3846153846</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70000</v>
      </c>
      <c r="F27" s="158"/>
      <c r="G27" s="166">
        <v>70000</v>
      </c>
      <c r="H27" s="159"/>
      <c r="I27" s="166"/>
      <c r="J27" s="159"/>
      <c r="K27" s="166">
        <f t="shared" ref="K27:K30" si="20">I27-G27</f>
        <v>-70000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105531.461067961</v>
      </c>
      <c r="F28" s="158"/>
      <c r="G28" s="158">
        <f t="shared" si="23"/>
        <v>105531.461067961</v>
      </c>
      <c r="H28" s="159" t="s">
        <v>62</v>
      </c>
      <c r="I28" s="158">
        <f t="shared" si="23"/>
        <v>0</v>
      </c>
      <c r="J28" s="159" t="s">
        <v>62</v>
      </c>
      <c r="K28" s="166">
        <f t="shared" si="20"/>
        <v>-105531.461067961</v>
      </c>
      <c r="L28" s="127">
        <f t="shared" si="21"/>
        <v>0</v>
      </c>
      <c r="M28" s="127">
        <f t="shared" si="22"/>
        <v>0</v>
      </c>
    </row>
    <row r="29" s="103" customFormat="1" ht="18" customHeight="1" spans="1:18">
      <c r="A29" s="136"/>
      <c r="B29" s="167" t="s">
        <v>84</v>
      </c>
      <c r="C29" s="123" t="s">
        <v>85</v>
      </c>
      <c r="D29" s="125" t="s">
        <v>86</v>
      </c>
      <c r="E29" s="168">
        <f t="shared" ref="E29:I29" si="24">E28/E7*100%</f>
        <v>0.196483822505979</v>
      </c>
      <c r="F29" s="158"/>
      <c r="G29" s="168">
        <f t="shared" si="24"/>
        <v>0.196483822505979</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24.5786516853933</v>
      </c>
      <c r="F30" s="158"/>
      <c r="G30" s="158">
        <f t="shared" si="25"/>
        <v>24.5786516853933</v>
      </c>
      <c r="H30" s="159" t="s">
        <v>62</v>
      </c>
      <c r="I30" s="158">
        <f t="shared" si="25"/>
        <v>0</v>
      </c>
      <c r="J30" s="159" t="s">
        <v>62</v>
      </c>
      <c r="K30" s="166">
        <f t="shared" si="20"/>
        <v>-24.5786516853933</v>
      </c>
      <c r="L30" s="127">
        <f t="shared" si="21"/>
        <v>0</v>
      </c>
      <c r="M30" s="127">
        <f t="shared" si="22"/>
        <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G15" sqref="G15:G1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94</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380000</v>
      </c>
      <c r="F3" s="126">
        <f t="shared" ref="F3:F6" si="0">E3/$E$7</f>
        <v>0.832165381920112</v>
      </c>
      <c r="G3" s="33">
        <v>380000</v>
      </c>
      <c r="H3" s="127">
        <f t="shared" ref="H3:H6" si="1">G3/$G$7</f>
        <v>0.832165381920112</v>
      </c>
      <c r="I3" s="29"/>
      <c r="J3" s="127" t="e">
        <f t="shared" ref="J3:J6" si="2">I3/$I$7</f>
        <v>#DIV/0!</v>
      </c>
      <c r="K3" s="29">
        <f t="shared" ref="K3:K22" si="3">I3-G3</f>
        <v>-380000</v>
      </c>
      <c r="L3" s="127">
        <f t="shared" ref="L3:L25" si="4">I3/G3</f>
        <v>0</v>
      </c>
      <c r="M3" s="127">
        <f t="shared" ref="M3:M25" si="5">I3/E3</f>
        <v>0</v>
      </c>
    </row>
    <row r="4" s="103" customFormat="1" ht="18" customHeight="1" spans="1:18">
      <c r="A4" s="122"/>
      <c r="B4" s="123" t="s">
        <v>15</v>
      </c>
      <c r="C4" s="128" t="s">
        <v>16</v>
      </c>
      <c r="D4" s="125"/>
      <c r="E4" s="33">
        <v>29640</v>
      </c>
      <c r="F4" s="126">
        <f t="shared" si="0"/>
        <v>0.0649088997897687</v>
      </c>
      <c r="G4" s="33">
        <v>29640</v>
      </c>
      <c r="H4" s="127">
        <f t="shared" si="1"/>
        <v>0.0649088997897687</v>
      </c>
      <c r="I4" s="29"/>
      <c r="J4" s="127" t="e">
        <f t="shared" si="2"/>
        <v>#DIV/0!</v>
      </c>
      <c r="K4" s="29">
        <f t="shared" si="3"/>
        <v>-29640</v>
      </c>
      <c r="L4" s="127">
        <f t="shared" si="4"/>
        <v>0</v>
      </c>
      <c r="M4" s="127">
        <f t="shared" si="5"/>
        <v>0</v>
      </c>
      <c r="O4" s="103" t="s">
        <v>17</v>
      </c>
    </row>
    <row r="5" s="103" customFormat="1" ht="18" customHeight="1" spans="1:18">
      <c r="A5" s="122"/>
      <c r="B5" s="123" t="s">
        <v>18</v>
      </c>
      <c r="C5" s="128" t="s">
        <v>19</v>
      </c>
      <c r="D5" s="125"/>
      <c r="E5" s="33">
        <v>5000</v>
      </c>
      <c r="F5" s="126">
        <f t="shared" si="0"/>
        <v>0.0109495444989488</v>
      </c>
      <c r="G5" s="33">
        <v>5000</v>
      </c>
      <c r="H5" s="127">
        <f t="shared" si="1"/>
        <v>0.0109495444989488</v>
      </c>
      <c r="I5" s="29"/>
      <c r="J5" s="127" t="e">
        <f t="shared" si="2"/>
        <v>#DIV/0!</v>
      </c>
      <c r="K5" s="29">
        <f t="shared" si="3"/>
        <v>-5000</v>
      </c>
      <c r="L5" s="127">
        <f t="shared" si="4"/>
        <v>0</v>
      </c>
      <c r="M5" s="127">
        <f t="shared" si="5"/>
        <v>0</v>
      </c>
    </row>
    <row r="6" s="103" customFormat="1" ht="18" customHeight="1" spans="1:18">
      <c r="A6" s="129"/>
      <c r="B6" s="123" t="s">
        <v>20</v>
      </c>
      <c r="C6" s="128" t="s">
        <v>21</v>
      </c>
      <c r="D6" s="125"/>
      <c r="E6" s="33">
        <v>42000</v>
      </c>
      <c r="F6" s="126">
        <f t="shared" si="0"/>
        <v>0.0919761737911703</v>
      </c>
      <c r="G6" s="33">
        <v>42000</v>
      </c>
      <c r="H6" s="127">
        <f t="shared" si="1"/>
        <v>0.0919761737911703</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456640</v>
      </c>
      <c r="F7" s="134">
        <f t="shared" si="6"/>
        <v>1</v>
      </c>
      <c r="G7" s="33">
        <f t="shared" si="6"/>
        <v>456640</v>
      </c>
      <c r="H7" s="135">
        <f t="shared" si="6"/>
        <v>1</v>
      </c>
      <c r="I7" s="33">
        <f t="shared" si="6"/>
        <v>0</v>
      </c>
      <c r="J7" s="135" t="e">
        <f t="shared" si="6"/>
        <v>#DIV/0!</v>
      </c>
      <c r="K7" s="133">
        <f t="shared" si="3"/>
        <v>-456640</v>
      </c>
      <c r="L7" s="135">
        <f t="shared" si="4"/>
        <v>0</v>
      </c>
      <c r="M7" s="135">
        <f t="shared" si="5"/>
        <v>0</v>
      </c>
    </row>
    <row r="8" s="103" customFormat="1" ht="18" customHeight="1" spans="1:18">
      <c r="A8" s="136" t="s">
        <v>25</v>
      </c>
      <c r="B8" s="137" t="s">
        <v>26</v>
      </c>
      <c r="C8" s="138" t="s">
        <v>27</v>
      </c>
      <c r="D8" s="139"/>
      <c r="E8" s="48">
        <v>151642.689320388</v>
      </c>
      <c r="F8" s="140">
        <f t="shared" ref="F8:F13" si="7">E8/$E$7</f>
        <v>0.332083674930773</v>
      </c>
      <c r="G8" s="48">
        <v>151642.689320388</v>
      </c>
      <c r="H8" s="141">
        <f t="shared" ref="H8:H12" si="8">G8/$G$7</f>
        <v>0.332083674930773</v>
      </c>
      <c r="I8" s="47"/>
      <c r="J8" s="127" t="e">
        <f t="shared" ref="J8:J12" si="9">I8/$I$7</f>
        <v>#DIV/0!</v>
      </c>
      <c r="K8" s="29">
        <f t="shared" si="3"/>
        <v>-151642.689320388</v>
      </c>
      <c r="L8" s="127">
        <f t="shared" si="4"/>
        <v>0</v>
      </c>
      <c r="M8" s="127">
        <f t="shared" si="5"/>
        <v>0</v>
      </c>
      <c r="Q8" s="103" t="s">
        <v>17</v>
      </c>
    </row>
    <row r="9" s="103" customFormat="1" ht="18" customHeight="1" spans="1:18">
      <c r="A9" s="136"/>
      <c r="B9" s="137" t="s">
        <v>28</v>
      </c>
      <c r="C9" s="138" t="s">
        <v>29</v>
      </c>
      <c r="D9" s="139"/>
      <c r="E9" s="48">
        <v>7410</v>
      </c>
      <c r="F9" s="140">
        <f t="shared" si="7"/>
        <v>0.0162272249474422</v>
      </c>
      <c r="G9" s="48">
        <v>7410</v>
      </c>
      <c r="H9" s="141">
        <f t="shared" si="8"/>
        <v>0.0162272249474422</v>
      </c>
      <c r="I9" s="47"/>
      <c r="J9" s="127" t="e">
        <f t="shared" si="9"/>
        <v>#DIV/0!</v>
      </c>
      <c r="K9" s="29">
        <f t="shared" si="3"/>
        <v>-7410</v>
      </c>
      <c r="L9" s="127">
        <f t="shared" si="4"/>
        <v>0</v>
      </c>
      <c r="M9" s="127">
        <f t="shared" si="5"/>
        <v>0</v>
      </c>
    </row>
    <row r="10" s="103" customFormat="1" ht="18" customHeight="1" spans="1:18">
      <c r="A10" s="136"/>
      <c r="B10" s="137" t="s">
        <v>30</v>
      </c>
      <c r="C10" s="138" t="s">
        <v>31</v>
      </c>
      <c r="D10" s="139"/>
      <c r="E10" s="49">
        <v>21000</v>
      </c>
      <c r="F10" s="140">
        <f t="shared" si="7"/>
        <v>0.0459880868955851</v>
      </c>
      <c r="G10" s="49">
        <v>21000</v>
      </c>
      <c r="H10" s="141">
        <f t="shared" si="8"/>
        <v>0.0459880868955851</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19000</v>
      </c>
      <c r="F11" s="140">
        <f t="shared" si="7"/>
        <v>0.0416082690960056</v>
      </c>
      <c r="G11" s="48">
        <v>19000</v>
      </c>
      <c r="H11" s="141">
        <f t="shared" si="8"/>
        <v>0.0416082690960056</v>
      </c>
      <c r="I11" s="47"/>
      <c r="J11" s="127" t="e">
        <f t="shared" si="9"/>
        <v>#DIV/0!</v>
      </c>
      <c r="K11" s="29">
        <f t="shared" si="3"/>
        <v>-19000</v>
      </c>
      <c r="L11" s="127">
        <f t="shared" si="4"/>
        <v>0</v>
      </c>
      <c r="M11" s="127">
        <f t="shared" si="5"/>
        <v>0</v>
      </c>
    </row>
    <row r="12" s="103" customFormat="1" ht="18" customHeight="1" spans="1:18">
      <c r="A12" s="136"/>
      <c r="B12" s="137" t="s">
        <v>34</v>
      </c>
      <c r="C12" s="138" t="s">
        <v>35</v>
      </c>
      <c r="D12" s="139"/>
      <c r="E12" s="28">
        <v>6500</v>
      </c>
      <c r="F12" s="140">
        <f t="shared" si="7"/>
        <v>0.0142344078486335</v>
      </c>
      <c r="G12" s="28">
        <v>6500</v>
      </c>
      <c r="H12" s="141">
        <f t="shared" si="8"/>
        <v>0.0142344078486335</v>
      </c>
      <c r="I12" s="47"/>
      <c r="J12" s="127" t="e">
        <f t="shared" si="9"/>
        <v>#DIV/0!</v>
      </c>
      <c r="K12" s="29">
        <f t="shared" si="3"/>
        <v>-6500</v>
      </c>
      <c r="L12" s="127">
        <f t="shared" si="4"/>
        <v>0</v>
      </c>
      <c r="M12" s="127">
        <f t="shared" si="5"/>
        <v>0</v>
      </c>
    </row>
    <row r="13" s="103" customFormat="1" ht="18" customHeight="1" spans="1:18">
      <c r="A13" s="136"/>
      <c r="B13" s="137" t="s">
        <v>36</v>
      </c>
      <c r="C13" s="142" t="s">
        <v>37</v>
      </c>
      <c r="D13" s="143" t="s">
        <v>38</v>
      </c>
      <c r="E13" s="144">
        <f t="shared" ref="E13:I13" si="10">SUM(E8:E12)</f>
        <v>205552.689320388</v>
      </c>
      <c r="F13" s="140">
        <f t="shared" si="7"/>
        <v>0.45014166371844</v>
      </c>
      <c r="G13" s="144">
        <f t="shared" si="10"/>
        <v>205552.689320388</v>
      </c>
      <c r="H13" s="141">
        <f t="shared" si="10"/>
        <v>0.45014166371844</v>
      </c>
      <c r="I13" s="47">
        <f t="shared" si="10"/>
        <v>0</v>
      </c>
      <c r="J13" s="127" t="e">
        <f>SUM(J8:J10)</f>
        <v>#DIV/0!</v>
      </c>
      <c r="K13" s="29">
        <f t="shared" si="3"/>
        <v>-205552.689320388</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251087.310679612</v>
      </c>
      <c r="F14" s="149">
        <f t="shared" ref="F14:J14" si="12">E14/E7</f>
        <v>0.54985833628156</v>
      </c>
      <c r="G14" s="148">
        <f t="shared" si="11"/>
        <v>251087.310679612</v>
      </c>
      <c r="H14" s="149">
        <f t="shared" si="12"/>
        <v>0.54985833628156</v>
      </c>
      <c r="I14" s="148">
        <f t="shared" si="11"/>
        <v>0</v>
      </c>
      <c r="J14" s="134" t="e">
        <f t="shared" si="12"/>
        <v>#DIV/0!</v>
      </c>
      <c r="K14" s="133">
        <f t="shared" si="3"/>
        <v>-251087.310679612</v>
      </c>
      <c r="L14" s="135">
        <f t="shared" si="4"/>
        <v>0</v>
      </c>
      <c r="M14" s="135">
        <f t="shared" si="5"/>
        <v>0</v>
      </c>
    </row>
    <row r="15" s="103" customFormat="1" ht="18" customHeight="1" spans="1:18">
      <c r="A15" s="122" t="s">
        <v>42</v>
      </c>
      <c r="B15" s="123" t="s">
        <v>43</v>
      </c>
      <c r="C15" s="150" t="s">
        <v>44</v>
      </c>
      <c r="D15" s="125"/>
      <c r="E15" s="28">
        <v>73666.67</v>
      </c>
      <c r="F15" s="126">
        <f t="shared" ref="F15:F18" si="13">E15/$E$7</f>
        <v>0.161323296250876</v>
      </c>
      <c r="G15" s="28">
        <v>73666.67</v>
      </c>
      <c r="H15" s="127">
        <f t="shared" ref="H15:H18" si="14">G15/$G$7</f>
        <v>0.161323296250876</v>
      </c>
      <c r="I15" s="29"/>
      <c r="J15" s="127" t="e">
        <f t="shared" ref="J15:J18" si="15">I15/$I$7</f>
        <v>#DIV/0!</v>
      </c>
      <c r="K15" s="29">
        <f t="shared" si="3"/>
        <v>-73666.67</v>
      </c>
      <c r="L15" s="127">
        <f t="shared" si="4"/>
        <v>0</v>
      </c>
      <c r="M15" s="127">
        <f t="shared" si="5"/>
        <v>0</v>
      </c>
    </row>
    <row r="16" s="103" customFormat="1" ht="18" customHeight="1" spans="1:18">
      <c r="A16" s="122"/>
      <c r="B16" s="123" t="s">
        <v>45</v>
      </c>
      <c r="C16" s="150" t="s">
        <v>46</v>
      </c>
      <c r="D16" s="125"/>
      <c r="E16" s="49">
        <v>11000</v>
      </c>
      <c r="F16" s="126">
        <f t="shared" si="13"/>
        <v>0.0240889978976875</v>
      </c>
      <c r="G16" s="49">
        <v>11000</v>
      </c>
      <c r="H16" s="127">
        <f t="shared" si="14"/>
        <v>0.0240889978976875</v>
      </c>
      <c r="I16" s="29"/>
      <c r="J16" s="127" t="e">
        <f t="shared" si="15"/>
        <v>#DIV/0!</v>
      </c>
      <c r="K16" s="29">
        <f t="shared" si="3"/>
        <v>-11000</v>
      </c>
      <c r="L16" s="127">
        <f t="shared" si="4"/>
        <v>0</v>
      </c>
      <c r="M16" s="127">
        <f t="shared" si="5"/>
        <v>0</v>
      </c>
    </row>
    <row r="17" s="103" customFormat="1" ht="18" customHeight="1" spans="1:18">
      <c r="A17" s="122"/>
      <c r="B17" s="123" t="s">
        <v>47</v>
      </c>
      <c r="C17" s="150" t="s">
        <v>48</v>
      </c>
      <c r="D17" s="125"/>
      <c r="E17" s="49">
        <v>36250</v>
      </c>
      <c r="F17" s="126">
        <f t="shared" si="13"/>
        <v>0.0793841976173791</v>
      </c>
      <c r="G17" s="49">
        <v>36250</v>
      </c>
      <c r="H17" s="127">
        <f t="shared" si="14"/>
        <v>0.0793841976173791</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0.00175192711983181</v>
      </c>
      <c r="G18" s="56">
        <v>800</v>
      </c>
      <c r="H18" s="127">
        <f t="shared" si="14"/>
        <v>0.00175192711983181</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121716.67</v>
      </c>
      <c r="F19" s="153"/>
      <c r="G19" s="133">
        <f t="shared" si="16"/>
        <v>121716.67</v>
      </c>
      <c r="H19" s="154"/>
      <c r="I19" s="133">
        <f t="shared" si="16"/>
        <v>0</v>
      </c>
      <c r="J19" s="154"/>
      <c r="K19" s="133">
        <f t="shared" si="3"/>
        <v>-121716.67</v>
      </c>
      <c r="L19" s="135">
        <f t="shared" si="4"/>
        <v>0</v>
      </c>
      <c r="M19" s="135">
        <f t="shared" si="5"/>
        <v>0</v>
      </c>
    </row>
    <row r="20" s="103" customFormat="1" ht="18" customHeight="1" spans="1:18">
      <c r="A20" s="155" t="s">
        <v>54</v>
      </c>
      <c r="B20" s="131" t="s">
        <v>55</v>
      </c>
      <c r="C20" s="131" t="s">
        <v>56</v>
      </c>
      <c r="D20" s="132" t="s">
        <v>57</v>
      </c>
      <c r="E20" s="133">
        <f t="shared" ref="E20:I20" si="17">E14-E19</f>
        <v>129370.640679612</v>
      </c>
      <c r="F20" s="156"/>
      <c r="G20" s="133">
        <f t="shared" si="17"/>
        <v>129370.640679612</v>
      </c>
      <c r="H20" s="154"/>
      <c r="I20" s="133">
        <f t="shared" si="17"/>
        <v>0</v>
      </c>
      <c r="J20" s="154"/>
      <c r="K20" s="133">
        <f t="shared" si="3"/>
        <v>-129370.640679612</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45.4250845082906</v>
      </c>
      <c r="F23" s="160"/>
      <c r="G23" s="133">
        <f t="shared" si="18"/>
        <v>45.4250845082906</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35126.1538461538</v>
      </c>
      <c r="F25" s="158"/>
      <c r="G25" s="29">
        <f t="shared" si="19"/>
        <v>35126.1538461538</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65000</v>
      </c>
      <c r="F27" s="158"/>
      <c r="G27" s="166">
        <v>65000</v>
      </c>
      <c r="H27" s="159"/>
      <c r="I27" s="166"/>
      <c r="J27" s="159"/>
      <c r="K27" s="166">
        <f t="shared" ref="K27:K30" si="20">I27-G27</f>
        <v>-65000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64370.6406796116</v>
      </c>
      <c r="F28" s="158"/>
      <c r="G28" s="158">
        <f t="shared" si="23"/>
        <v>64370.6406796116</v>
      </c>
      <c r="H28" s="159" t="s">
        <v>62</v>
      </c>
      <c r="I28" s="158">
        <f t="shared" si="23"/>
        <v>0</v>
      </c>
      <c r="J28" s="159" t="s">
        <v>62</v>
      </c>
      <c r="K28" s="166">
        <f t="shared" si="20"/>
        <v>-64370.6406796116</v>
      </c>
      <c r="L28" s="127">
        <f t="shared" si="21"/>
        <v>0</v>
      </c>
      <c r="M28" s="127">
        <f t="shared" si="22"/>
        <v>0</v>
      </c>
    </row>
    <row r="29" s="103" customFormat="1" ht="18" customHeight="1" spans="1:18">
      <c r="A29" s="136"/>
      <c r="B29" s="167" t="s">
        <v>84</v>
      </c>
      <c r="C29" s="123" t="s">
        <v>85</v>
      </c>
      <c r="D29" s="125" t="s">
        <v>86</v>
      </c>
      <c r="E29" s="168">
        <f t="shared" ref="E29:I29" si="24">E28/E7*100%</f>
        <v>0.140965838909451</v>
      </c>
      <c r="F29" s="158"/>
      <c r="G29" s="168">
        <f t="shared" si="24"/>
        <v>0.140965838909451</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22.8230337078652</v>
      </c>
      <c r="F30" s="158"/>
      <c r="G30" s="158">
        <f t="shared" si="25"/>
        <v>22.8230337078652</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Q22" sqref="Q22"/>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5.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95</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1230000</v>
      </c>
      <c r="F3" s="126">
        <f t="shared" ref="F3:F6" si="0">E3/$E$7</f>
        <v>0.898301990140588</v>
      </c>
      <c r="G3" s="33">
        <v>1230000</v>
      </c>
      <c r="H3" s="127">
        <f t="shared" ref="H3:H6" si="1">G3/$G$7</f>
        <v>0.898301990140588</v>
      </c>
      <c r="I3" s="29"/>
      <c r="J3" s="127" t="e">
        <f t="shared" ref="J3:J6" si="2">I3/$I$7</f>
        <v>#DIV/0!</v>
      </c>
      <c r="K3" s="29">
        <f t="shared" ref="K3:K22" si="3">I3-G3</f>
        <v>-1230000</v>
      </c>
      <c r="L3" s="127">
        <f t="shared" ref="L3:L25" si="4">I3/G3</f>
        <v>0</v>
      </c>
      <c r="M3" s="127">
        <f t="shared" ref="M3:M25" si="5">I3/E3</f>
        <v>0</v>
      </c>
    </row>
    <row r="4" s="103" customFormat="1" ht="18" customHeight="1" spans="1:18">
      <c r="A4" s="122"/>
      <c r="B4" s="123" t="s">
        <v>15</v>
      </c>
      <c r="C4" s="128" t="s">
        <v>16</v>
      </c>
      <c r="D4" s="125"/>
      <c r="E4" s="33">
        <v>92250</v>
      </c>
      <c r="F4" s="126">
        <f t="shared" si="0"/>
        <v>0.0673726492605441</v>
      </c>
      <c r="G4" s="33">
        <v>92250</v>
      </c>
      <c r="H4" s="127">
        <f t="shared" si="1"/>
        <v>0.0673726492605441</v>
      </c>
      <c r="I4" s="29"/>
      <c r="J4" s="127" t="e">
        <f t="shared" si="2"/>
        <v>#DIV/0!</v>
      </c>
      <c r="K4" s="29">
        <f t="shared" si="3"/>
        <v>-92250</v>
      </c>
      <c r="L4" s="127">
        <f t="shared" si="4"/>
        <v>0</v>
      </c>
      <c r="M4" s="127">
        <f t="shared" si="5"/>
        <v>0</v>
      </c>
      <c r="O4" s="103" t="s">
        <v>17</v>
      </c>
    </row>
    <row r="5" s="103" customFormat="1" ht="18" customHeight="1" spans="1:18">
      <c r="A5" s="122"/>
      <c r="B5" s="123" t="s">
        <v>18</v>
      </c>
      <c r="C5" s="128" t="s">
        <v>19</v>
      </c>
      <c r="D5" s="125"/>
      <c r="E5" s="33">
        <v>5000</v>
      </c>
      <c r="F5" s="126">
        <f t="shared" si="0"/>
        <v>0.00365163410626255</v>
      </c>
      <c r="G5" s="33">
        <v>5000</v>
      </c>
      <c r="H5" s="127">
        <f t="shared" si="1"/>
        <v>0.00365163410626255</v>
      </c>
      <c r="I5" s="29"/>
      <c r="J5" s="127" t="e">
        <f t="shared" si="2"/>
        <v>#DIV/0!</v>
      </c>
      <c r="K5" s="29">
        <f t="shared" si="3"/>
        <v>-5000</v>
      </c>
      <c r="L5" s="127">
        <f t="shared" si="4"/>
        <v>0</v>
      </c>
      <c r="M5" s="127">
        <f t="shared" si="5"/>
        <v>0</v>
      </c>
    </row>
    <row r="6" s="103" customFormat="1" ht="18" customHeight="1" spans="1:18">
      <c r="A6" s="129"/>
      <c r="B6" s="123" t="s">
        <v>20</v>
      </c>
      <c r="C6" s="128" t="s">
        <v>21</v>
      </c>
      <c r="D6" s="125"/>
      <c r="E6" s="33">
        <v>42000</v>
      </c>
      <c r="F6" s="126">
        <f t="shared" si="0"/>
        <v>0.0306737264926054</v>
      </c>
      <c r="G6" s="33">
        <v>42000</v>
      </c>
      <c r="H6" s="127">
        <f t="shared" si="1"/>
        <v>0.0306737264926054</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1369250</v>
      </c>
      <c r="F7" s="134">
        <f t="shared" si="6"/>
        <v>1</v>
      </c>
      <c r="G7" s="33">
        <f t="shared" si="6"/>
        <v>1369250</v>
      </c>
      <c r="H7" s="135">
        <f t="shared" si="6"/>
        <v>1</v>
      </c>
      <c r="I7" s="33">
        <f t="shared" si="6"/>
        <v>0</v>
      </c>
      <c r="J7" s="135" t="e">
        <f t="shared" si="6"/>
        <v>#DIV/0!</v>
      </c>
      <c r="K7" s="133">
        <f t="shared" si="3"/>
        <v>-1369250</v>
      </c>
      <c r="L7" s="135">
        <f t="shared" si="4"/>
        <v>0</v>
      </c>
      <c r="M7" s="135">
        <f t="shared" si="5"/>
        <v>0</v>
      </c>
    </row>
    <row r="8" s="103" customFormat="1" ht="18" customHeight="1" spans="1:18">
      <c r="A8" s="136" t="s">
        <v>25</v>
      </c>
      <c r="B8" s="137" t="s">
        <v>26</v>
      </c>
      <c r="C8" s="138" t="s">
        <v>27</v>
      </c>
      <c r="D8" s="139"/>
      <c r="E8" s="48">
        <v>490843.441747573</v>
      </c>
      <c r="F8" s="140">
        <f t="shared" ref="F8:F13" si="7">E8/$E$7</f>
        <v>0.358476130544147</v>
      </c>
      <c r="G8" s="48">
        <v>490843.441747573</v>
      </c>
      <c r="H8" s="141">
        <f t="shared" ref="H8:H12" si="8">G8/$G$7</f>
        <v>0.358476130544147</v>
      </c>
      <c r="I8" s="47"/>
      <c r="J8" s="127" t="e">
        <f t="shared" ref="J8:J12" si="9">I8/$I$7</f>
        <v>#DIV/0!</v>
      </c>
      <c r="K8" s="29">
        <f t="shared" si="3"/>
        <v>-490843.441747573</v>
      </c>
      <c r="L8" s="127">
        <f t="shared" si="4"/>
        <v>0</v>
      </c>
      <c r="M8" s="127">
        <f t="shared" si="5"/>
        <v>0</v>
      </c>
      <c r="Q8" s="103" t="s">
        <v>17</v>
      </c>
    </row>
    <row r="9" s="103" customFormat="1" ht="18" customHeight="1" spans="1:18">
      <c r="A9" s="136"/>
      <c r="B9" s="137" t="s">
        <v>28</v>
      </c>
      <c r="C9" s="138" t="s">
        <v>29</v>
      </c>
      <c r="D9" s="139"/>
      <c r="E9" s="48">
        <v>23062.5</v>
      </c>
      <c r="F9" s="140">
        <f t="shared" si="7"/>
        <v>0.016843162315136</v>
      </c>
      <c r="G9" s="48">
        <v>23062.5</v>
      </c>
      <c r="H9" s="141">
        <f t="shared" si="8"/>
        <v>0.016843162315136</v>
      </c>
      <c r="I9" s="47"/>
      <c r="J9" s="127" t="e">
        <f t="shared" si="9"/>
        <v>#DIV/0!</v>
      </c>
      <c r="K9" s="29">
        <f t="shared" si="3"/>
        <v>-23062.5</v>
      </c>
      <c r="L9" s="127">
        <f t="shared" si="4"/>
        <v>0</v>
      </c>
      <c r="M9" s="127">
        <f t="shared" si="5"/>
        <v>0</v>
      </c>
    </row>
    <row r="10" s="103" customFormat="1" ht="18" customHeight="1" spans="1:18">
      <c r="A10" s="136"/>
      <c r="B10" s="137" t="s">
        <v>30</v>
      </c>
      <c r="C10" s="138" t="s">
        <v>31</v>
      </c>
      <c r="D10" s="139"/>
      <c r="E10" s="49">
        <v>30000</v>
      </c>
      <c r="F10" s="140">
        <f t="shared" si="7"/>
        <v>0.0219098046375753</v>
      </c>
      <c r="G10" s="49">
        <v>30000</v>
      </c>
      <c r="H10" s="141">
        <f t="shared" si="8"/>
        <v>0.0219098046375753</v>
      </c>
      <c r="I10" s="47"/>
      <c r="J10" s="127" t="e">
        <f t="shared" si="9"/>
        <v>#DIV/0!</v>
      </c>
      <c r="K10" s="29">
        <f t="shared" si="3"/>
        <v>-30000</v>
      </c>
      <c r="L10" s="127">
        <f t="shared" si="4"/>
        <v>0</v>
      </c>
      <c r="M10" s="127">
        <f t="shared" si="5"/>
        <v>0</v>
      </c>
    </row>
    <row r="11" s="103" customFormat="1" ht="18" customHeight="1" spans="1:18">
      <c r="A11" s="136"/>
      <c r="B11" s="137" t="s">
        <v>32</v>
      </c>
      <c r="C11" s="138" t="s">
        <v>33</v>
      </c>
      <c r="D11" s="139"/>
      <c r="E11" s="48">
        <v>61500</v>
      </c>
      <c r="F11" s="140">
        <f t="shared" si="7"/>
        <v>0.0449150995070294</v>
      </c>
      <c r="G11" s="48">
        <v>61500</v>
      </c>
      <c r="H11" s="141">
        <f t="shared" si="8"/>
        <v>0.0449150995070294</v>
      </c>
      <c r="I11" s="47"/>
      <c r="J11" s="127" t="e">
        <f t="shared" si="9"/>
        <v>#DIV/0!</v>
      </c>
      <c r="K11" s="29">
        <f t="shared" si="3"/>
        <v>-61500</v>
      </c>
      <c r="L11" s="127">
        <f t="shared" si="4"/>
        <v>0</v>
      </c>
      <c r="M11" s="127">
        <f t="shared" si="5"/>
        <v>0</v>
      </c>
    </row>
    <row r="12" s="103" customFormat="1" ht="18" customHeight="1" spans="1:18">
      <c r="A12" s="136"/>
      <c r="B12" s="137" t="s">
        <v>34</v>
      </c>
      <c r="C12" s="138" t="s">
        <v>35</v>
      </c>
      <c r="D12" s="139"/>
      <c r="E12" s="28">
        <v>27700</v>
      </c>
      <c r="F12" s="140">
        <f t="shared" si="7"/>
        <v>0.0202300529486945</v>
      </c>
      <c r="G12" s="28">
        <v>27700</v>
      </c>
      <c r="H12" s="141">
        <f t="shared" si="8"/>
        <v>0.0202300529486945</v>
      </c>
      <c r="I12" s="47"/>
      <c r="J12" s="127" t="e">
        <f t="shared" si="9"/>
        <v>#DIV/0!</v>
      </c>
      <c r="K12" s="29">
        <f t="shared" si="3"/>
        <v>-27700</v>
      </c>
      <c r="L12" s="127">
        <f t="shared" si="4"/>
        <v>0</v>
      </c>
      <c r="M12" s="127">
        <f t="shared" si="5"/>
        <v>0</v>
      </c>
    </row>
    <row r="13" s="103" customFormat="1" ht="18" customHeight="1" spans="1:18">
      <c r="A13" s="136"/>
      <c r="B13" s="137" t="s">
        <v>36</v>
      </c>
      <c r="C13" s="142" t="s">
        <v>37</v>
      </c>
      <c r="D13" s="143" t="s">
        <v>38</v>
      </c>
      <c r="E13" s="144">
        <f t="shared" ref="E13:I13" si="10">SUM(E8:E12)</f>
        <v>633105.941747573</v>
      </c>
      <c r="F13" s="140">
        <f t="shared" si="7"/>
        <v>0.462374249952582</v>
      </c>
      <c r="G13" s="144">
        <f t="shared" si="10"/>
        <v>633105.941747573</v>
      </c>
      <c r="H13" s="141">
        <f t="shared" si="10"/>
        <v>0.462374249952582</v>
      </c>
      <c r="I13" s="47">
        <f t="shared" si="10"/>
        <v>0</v>
      </c>
      <c r="J13" s="127" t="e">
        <f>SUM(J8:J10)</f>
        <v>#DIV/0!</v>
      </c>
      <c r="K13" s="29">
        <f t="shared" si="3"/>
        <v>-633105.941747573</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736144.058252427</v>
      </c>
      <c r="F14" s="149">
        <f t="shared" ref="F14:J14" si="12">E14/E7</f>
        <v>0.537625750047418</v>
      </c>
      <c r="G14" s="148">
        <f t="shared" si="11"/>
        <v>736144.058252427</v>
      </c>
      <c r="H14" s="149">
        <f t="shared" si="12"/>
        <v>0.537625750047418</v>
      </c>
      <c r="I14" s="148">
        <f t="shared" si="11"/>
        <v>0</v>
      </c>
      <c r="J14" s="134" t="e">
        <f t="shared" si="12"/>
        <v>#DIV/0!</v>
      </c>
      <c r="K14" s="133">
        <f t="shared" si="3"/>
        <v>-736144.058252427</v>
      </c>
      <c r="L14" s="135">
        <f t="shared" si="4"/>
        <v>0</v>
      </c>
      <c r="M14" s="135">
        <f t="shared" si="5"/>
        <v>0</v>
      </c>
    </row>
    <row r="15" s="103" customFormat="1" ht="18" customHeight="1" spans="1:18">
      <c r="A15" s="122" t="s">
        <v>42</v>
      </c>
      <c r="B15" s="123" t="s">
        <v>43</v>
      </c>
      <c r="C15" s="150" t="s">
        <v>44</v>
      </c>
      <c r="D15" s="125"/>
      <c r="E15" s="28">
        <v>79666.67</v>
      </c>
      <c r="F15" s="126">
        <f t="shared" ref="F15:F18" si="13">E15/$E$7</f>
        <v>0.0581827058608727</v>
      </c>
      <c r="G15" s="28">
        <v>79666.67</v>
      </c>
      <c r="H15" s="127">
        <f t="shared" ref="H15:H18" si="14">G15/$G$7</f>
        <v>0.0581827058608727</v>
      </c>
      <c r="I15" s="29"/>
      <c r="J15" s="127" t="e">
        <f t="shared" ref="J15:J18" si="15">I15/$I$7</f>
        <v>#DIV/0!</v>
      </c>
      <c r="K15" s="29">
        <f t="shared" si="3"/>
        <v>-79666.67</v>
      </c>
      <c r="L15" s="127">
        <f t="shared" si="4"/>
        <v>0</v>
      </c>
      <c r="M15" s="127">
        <f t="shared" si="5"/>
        <v>0</v>
      </c>
    </row>
    <row r="16" s="103" customFormat="1" ht="18" customHeight="1" spans="1:18">
      <c r="A16" s="122"/>
      <c r="B16" s="123" t="s">
        <v>45</v>
      </c>
      <c r="C16" s="150" t="s">
        <v>46</v>
      </c>
      <c r="D16" s="125"/>
      <c r="E16" s="49">
        <v>13000</v>
      </c>
      <c r="F16" s="126">
        <f t="shared" si="13"/>
        <v>0.00949424867628264</v>
      </c>
      <c r="G16" s="49">
        <v>13000</v>
      </c>
      <c r="H16" s="127">
        <f t="shared" si="14"/>
        <v>0.00949424867628264</v>
      </c>
      <c r="I16" s="29"/>
      <c r="J16" s="127" t="e">
        <f t="shared" si="15"/>
        <v>#DIV/0!</v>
      </c>
      <c r="K16" s="29">
        <f t="shared" si="3"/>
        <v>-13000</v>
      </c>
      <c r="L16" s="127">
        <f t="shared" si="4"/>
        <v>0</v>
      </c>
      <c r="M16" s="127">
        <f t="shared" si="5"/>
        <v>0</v>
      </c>
    </row>
    <row r="17" s="103" customFormat="1" ht="18" customHeight="1" spans="1:18">
      <c r="A17" s="122"/>
      <c r="B17" s="123" t="s">
        <v>47</v>
      </c>
      <c r="C17" s="150" t="s">
        <v>48</v>
      </c>
      <c r="D17" s="125"/>
      <c r="E17" s="49">
        <v>36250</v>
      </c>
      <c r="F17" s="126">
        <f t="shared" si="13"/>
        <v>0.0264743472704035</v>
      </c>
      <c r="G17" s="49">
        <v>36250</v>
      </c>
      <c r="H17" s="127">
        <f t="shared" si="14"/>
        <v>0.0264743472704035</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0.000584261457002008</v>
      </c>
      <c r="G18" s="56">
        <v>800</v>
      </c>
      <c r="H18" s="127">
        <f t="shared" si="14"/>
        <v>0.000584261457002008</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129716.67</v>
      </c>
      <c r="F19" s="153"/>
      <c r="G19" s="133">
        <f t="shared" si="16"/>
        <v>129716.67</v>
      </c>
      <c r="H19" s="154"/>
      <c r="I19" s="133">
        <f t="shared" si="16"/>
        <v>0</v>
      </c>
      <c r="J19" s="154"/>
      <c r="K19" s="133">
        <f t="shared" si="3"/>
        <v>-129716.67</v>
      </c>
      <c r="L19" s="135">
        <f t="shared" si="4"/>
        <v>0</v>
      </c>
      <c r="M19" s="135">
        <f t="shared" si="5"/>
        <v>0</v>
      </c>
    </row>
    <row r="20" s="103" customFormat="1" ht="18" customHeight="1" spans="1:18">
      <c r="A20" s="155" t="s">
        <v>54</v>
      </c>
      <c r="B20" s="131" t="s">
        <v>55</v>
      </c>
      <c r="C20" s="131" t="s">
        <v>56</v>
      </c>
      <c r="D20" s="132" t="s">
        <v>57</v>
      </c>
      <c r="E20" s="133">
        <f t="shared" ref="E20:I20" si="17">E14-E19</f>
        <v>606427.388252427</v>
      </c>
      <c r="F20" s="156"/>
      <c r="G20" s="133">
        <f t="shared" si="17"/>
        <v>606427.388252427</v>
      </c>
      <c r="H20" s="154"/>
      <c r="I20" s="133">
        <f t="shared" si="17"/>
        <v>0</v>
      </c>
      <c r="J20" s="154"/>
      <c r="K20" s="133">
        <f t="shared" si="3"/>
        <v>-606427.388252427</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212.930964976274</v>
      </c>
      <c r="F23" s="160"/>
      <c r="G23" s="133">
        <f t="shared" si="18"/>
        <v>212.930964976274</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105326.923076923</v>
      </c>
      <c r="F25" s="158"/>
      <c r="G25" s="29">
        <f t="shared" si="19"/>
        <v>105326.923076923</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80000</v>
      </c>
      <c r="F27" s="158"/>
      <c r="G27" s="166">
        <v>80000</v>
      </c>
      <c r="H27" s="159"/>
      <c r="I27" s="166"/>
      <c r="J27" s="159"/>
      <c r="K27" s="166">
        <f t="shared" ref="K27:K30" si="20">I27-G27</f>
        <v>-80000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526427.388252427</v>
      </c>
      <c r="F28" s="158"/>
      <c r="G28" s="158">
        <f t="shared" si="23"/>
        <v>526427.388252427</v>
      </c>
      <c r="H28" s="159" t="s">
        <v>62</v>
      </c>
      <c r="I28" s="158">
        <f t="shared" si="23"/>
        <v>0</v>
      </c>
      <c r="J28" s="159" t="s">
        <v>62</v>
      </c>
      <c r="K28" s="166">
        <f t="shared" si="20"/>
        <v>-526427.388252427</v>
      </c>
      <c r="L28" s="127">
        <f t="shared" si="21"/>
        <v>0</v>
      </c>
      <c r="M28" s="127">
        <f t="shared" si="22"/>
        <v>0</v>
      </c>
    </row>
    <row r="29" s="103" customFormat="1" ht="18" customHeight="1" spans="1:18">
      <c r="A29" s="136"/>
      <c r="B29" s="167" t="s">
        <v>84</v>
      </c>
      <c r="C29" s="123" t="s">
        <v>85</v>
      </c>
      <c r="D29" s="125" t="s">
        <v>86</v>
      </c>
      <c r="E29" s="168">
        <f t="shared" ref="E29:I29" si="24">E28/E7*100%</f>
        <v>0.384464041082656</v>
      </c>
      <c r="F29" s="158"/>
      <c r="G29" s="168">
        <f t="shared" si="24"/>
        <v>0.384464041082656</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28.0898876404494</v>
      </c>
      <c r="F30" s="158"/>
      <c r="G30" s="158">
        <f t="shared" si="25"/>
        <v>28.0898876404494</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S14" sqref="S14"/>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96</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1230000</v>
      </c>
      <c r="F3" s="126">
        <f t="shared" ref="F3:F6" si="0">E3/$E$7</f>
        <v>0.901594282572842</v>
      </c>
      <c r="G3" s="33">
        <v>1230000</v>
      </c>
      <c r="H3" s="127">
        <f t="shared" ref="H3:H6" si="1">G3/$G$7</f>
        <v>0.901594282572842</v>
      </c>
      <c r="I3" s="29"/>
      <c r="J3" s="127" t="e">
        <f t="shared" ref="J3:J6" si="2">I3/$I$7</f>
        <v>#DIV/0!</v>
      </c>
      <c r="K3" s="29">
        <f t="shared" ref="K3:K22" si="3">I3-G3</f>
        <v>-1230000</v>
      </c>
      <c r="L3" s="127">
        <f t="shared" ref="L3:L25" si="4">I3/G3</f>
        <v>0</v>
      </c>
      <c r="M3" s="127">
        <f t="shared" ref="M3:M25" si="5">I3/E3</f>
        <v>0</v>
      </c>
    </row>
    <row r="4" s="103" customFormat="1" ht="18" customHeight="1" spans="1:18">
      <c r="A4" s="122"/>
      <c r="B4" s="123" t="s">
        <v>15</v>
      </c>
      <c r="C4" s="128" t="s">
        <v>16</v>
      </c>
      <c r="D4" s="125"/>
      <c r="E4" s="33">
        <v>92250</v>
      </c>
      <c r="F4" s="126">
        <f t="shared" si="0"/>
        <v>0.0676195711929632</v>
      </c>
      <c r="G4" s="33">
        <v>92250</v>
      </c>
      <c r="H4" s="127">
        <f t="shared" si="1"/>
        <v>0.0676195711929632</v>
      </c>
      <c r="I4" s="29"/>
      <c r="J4" s="127" t="e">
        <f t="shared" si="2"/>
        <v>#DIV/0!</v>
      </c>
      <c r="K4" s="29">
        <f t="shared" si="3"/>
        <v>-92250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42000</v>
      </c>
      <c r="F6" s="126">
        <f t="shared" si="0"/>
        <v>0.0307861462341946</v>
      </c>
      <c r="G6" s="33">
        <v>42000</v>
      </c>
      <c r="H6" s="127">
        <f t="shared" si="1"/>
        <v>0.0307861462341946</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1364250</v>
      </c>
      <c r="F7" s="134">
        <f t="shared" si="6"/>
        <v>1</v>
      </c>
      <c r="G7" s="33">
        <f t="shared" si="6"/>
        <v>1364250</v>
      </c>
      <c r="H7" s="135">
        <f t="shared" si="6"/>
        <v>1</v>
      </c>
      <c r="I7" s="33">
        <f t="shared" si="6"/>
        <v>0</v>
      </c>
      <c r="J7" s="135" t="e">
        <f t="shared" si="6"/>
        <v>#DIV/0!</v>
      </c>
      <c r="K7" s="133">
        <f t="shared" si="3"/>
        <v>-1364250</v>
      </c>
      <c r="L7" s="135">
        <f t="shared" si="4"/>
        <v>0</v>
      </c>
      <c r="M7" s="135">
        <f t="shared" si="5"/>
        <v>0</v>
      </c>
    </row>
    <row r="8" s="103" customFormat="1" ht="18" customHeight="1" spans="1:18">
      <c r="A8" s="136" t="s">
        <v>25</v>
      </c>
      <c r="B8" s="137" t="s">
        <v>26</v>
      </c>
      <c r="C8" s="138" t="s">
        <v>27</v>
      </c>
      <c r="D8" s="139"/>
      <c r="E8" s="48">
        <v>490843.441747573</v>
      </c>
      <c r="F8" s="140">
        <f t="shared" ref="F8:F13" si="7">E8/$E$7</f>
        <v>0.359789951803242</v>
      </c>
      <c r="G8" s="48">
        <v>490843.441747573</v>
      </c>
      <c r="H8" s="141">
        <f t="shared" ref="H8:H12" si="8">G8/$G$7</f>
        <v>0.359789951803242</v>
      </c>
      <c r="I8" s="47"/>
      <c r="J8" s="127" t="e">
        <f t="shared" ref="J8:J12" si="9">I8/$I$7</f>
        <v>#DIV/0!</v>
      </c>
      <c r="K8" s="29">
        <f t="shared" si="3"/>
        <v>-490843.441747573</v>
      </c>
      <c r="L8" s="127">
        <f t="shared" si="4"/>
        <v>0</v>
      </c>
      <c r="M8" s="127">
        <f t="shared" si="5"/>
        <v>0</v>
      </c>
      <c r="Q8" s="103" t="s">
        <v>17</v>
      </c>
    </row>
    <row r="9" s="103" customFormat="1" ht="18" customHeight="1" spans="1:18">
      <c r="A9" s="136"/>
      <c r="B9" s="137" t="s">
        <v>28</v>
      </c>
      <c r="C9" s="138" t="s">
        <v>29</v>
      </c>
      <c r="D9" s="139"/>
      <c r="E9" s="48">
        <v>23062.5</v>
      </c>
      <c r="F9" s="140">
        <f t="shared" si="7"/>
        <v>0.0169048927982408</v>
      </c>
      <c r="G9" s="48">
        <v>23062.5</v>
      </c>
      <c r="H9" s="141">
        <f t="shared" si="8"/>
        <v>0.0169048927982408</v>
      </c>
      <c r="I9" s="47"/>
      <c r="J9" s="127" t="e">
        <f t="shared" si="9"/>
        <v>#DIV/0!</v>
      </c>
      <c r="K9" s="29">
        <f t="shared" si="3"/>
        <v>-23062.5</v>
      </c>
      <c r="L9" s="127">
        <f t="shared" si="4"/>
        <v>0</v>
      </c>
      <c r="M9" s="127">
        <f t="shared" si="5"/>
        <v>0</v>
      </c>
    </row>
    <row r="10" s="103" customFormat="1" ht="18" customHeight="1" spans="1:18">
      <c r="A10" s="136"/>
      <c r="B10" s="137" t="s">
        <v>30</v>
      </c>
      <c r="C10" s="138" t="s">
        <v>31</v>
      </c>
      <c r="D10" s="139"/>
      <c r="E10" s="49">
        <v>30000</v>
      </c>
      <c r="F10" s="140">
        <f t="shared" si="7"/>
        <v>0.0219901044529962</v>
      </c>
      <c r="G10" s="49">
        <v>30000</v>
      </c>
      <c r="H10" s="141">
        <f t="shared" si="8"/>
        <v>0.0219901044529962</v>
      </c>
      <c r="I10" s="47"/>
      <c r="J10" s="127" t="e">
        <f t="shared" si="9"/>
        <v>#DIV/0!</v>
      </c>
      <c r="K10" s="29">
        <f t="shared" si="3"/>
        <v>-30000</v>
      </c>
      <c r="L10" s="127">
        <f t="shared" si="4"/>
        <v>0</v>
      </c>
      <c r="M10" s="127">
        <f t="shared" si="5"/>
        <v>0</v>
      </c>
    </row>
    <row r="11" s="103" customFormat="1" ht="18" customHeight="1" spans="1:18">
      <c r="A11" s="136"/>
      <c r="B11" s="137" t="s">
        <v>32</v>
      </c>
      <c r="C11" s="138" t="s">
        <v>33</v>
      </c>
      <c r="D11" s="139"/>
      <c r="E11" s="48">
        <v>61500</v>
      </c>
      <c r="F11" s="140">
        <f t="shared" si="7"/>
        <v>0.0450797141286421</v>
      </c>
      <c r="G11" s="48">
        <v>61500</v>
      </c>
      <c r="H11" s="141">
        <f t="shared" si="8"/>
        <v>0.0450797141286421</v>
      </c>
      <c r="I11" s="47"/>
      <c r="J11" s="127" t="e">
        <f t="shared" si="9"/>
        <v>#DIV/0!</v>
      </c>
      <c r="K11" s="29">
        <f t="shared" si="3"/>
        <v>-61500</v>
      </c>
      <c r="L11" s="127">
        <f t="shared" si="4"/>
        <v>0</v>
      </c>
      <c r="M11" s="127">
        <f t="shared" si="5"/>
        <v>0</v>
      </c>
    </row>
    <row r="12" s="103" customFormat="1" ht="18" customHeight="1" spans="1:18">
      <c r="A12" s="136"/>
      <c r="B12" s="137" t="s">
        <v>34</v>
      </c>
      <c r="C12" s="138" t="s">
        <v>35</v>
      </c>
      <c r="D12" s="139"/>
      <c r="E12" s="28">
        <v>27800</v>
      </c>
      <c r="F12" s="140">
        <f t="shared" si="7"/>
        <v>0.0203774967931098</v>
      </c>
      <c r="G12" s="28">
        <v>27800</v>
      </c>
      <c r="H12" s="141">
        <f t="shared" si="8"/>
        <v>0.0203774967931098</v>
      </c>
      <c r="I12" s="47"/>
      <c r="J12" s="127" t="e">
        <f t="shared" si="9"/>
        <v>#DIV/0!</v>
      </c>
      <c r="K12" s="29">
        <f t="shared" si="3"/>
        <v>-27800</v>
      </c>
      <c r="L12" s="127">
        <f t="shared" si="4"/>
        <v>0</v>
      </c>
      <c r="M12" s="127">
        <f t="shared" si="5"/>
        <v>0</v>
      </c>
    </row>
    <row r="13" s="103" customFormat="1" ht="18" customHeight="1" spans="1:18">
      <c r="A13" s="136"/>
      <c r="B13" s="137" t="s">
        <v>36</v>
      </c>
      <c r="C13" s="142" t="s">
        <v>37</v>
      </c>
      <c r="D13" s="143" t="s">
        <v>38</v>
      </c>
      <c r="E13" s="144">
        <f t="shared" ref="E13:I13" si="10">SUM(E8:E12)</f>
        <v>633205.941747573</v>
      </c>
      <c r="F13" s="140">
        <f t="shared" si="7"/>
        <v>0.464142159976231</v>
      </c>
      <c r="G13" s="144">
        <f t="shared" si="10"/>
        <v>633205.941747573</v>
      </c>
      <c r="H13" s="141">
        <f t="shared" si="10"/>
        <v>0.464142159976231</v>
      </c>
      <c r="I13" s="47">
        <f t="shared" si="10"/>
        <v>0</v>
      </c>
      <c r="J13" s="127" t="e">
        <f>SUM(J8:J10)</f>
        <v>#DIV/0!</v>
      </c>
      <c r="K13" s="29">
        <f t="shared" si="3"/>
        <v>-633205.941747573</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731044.058252427</v>
      </c>
      <c r="F14" s="149">
        <f t="shared" ref="F14:J14" si="12">E14/E7</f>
        <v>0.535857840023769</v>
      </c>
      <c r="G14" s="148">
        <f t="shared" si="11"/>
        <v>731044.058252427</v>
      </c>
      <c r="H14" s="149">
        <f t="shared" si="12"/>
        <v>0.535857840023769</v>
      </c>
      <c r="I14" s="148">
        <f t="shared" si="11"/>
        <v>0</v>
      </c>
      <c r="J14" s="134" t="e">
        <f t="shared" si="12"/>
        <v>#DIV/0!</v>
      </c>
      <c r="K14" s="133">
        <f t="shared" si="3"/>
        <v>-731044.058252427</v>
      </c>
      <c r="L14" s="135">
        <f t="shared" si="4"/>
        <v>0</v>
      </c>
      <c r="M14" s="135">
        <f t="shared" si="5"/>
        <v>0</v>
      </c>
    </row>
    <row r="15" s="103" customFormat="1" ht="18" customHeight="1" spans="1:18">
      <c r="A15" s="122" t="s">
        <v>42</v>
      </c>
      <c r="B15" s="123" t="s">
        <v>43</v>
      </c>
      <c r="C15" s="150" t="s">
        <v>44</v>
      </c>
      <c r="D15" s="125"/>
      <c r="E15" s="28">
        <v>79666.67</v>
      </c>
      <c r="F15" s="126">
        <f t="shared" ref="F15:F18" si="13">E15/$E$7</f>
        <v>0.0583959464907458</v>
      </c>
      <c r="G15" s="28">
        <v>79666.67</v>
      </c>
      <c r="H15" s="127">
        <f t="shared" ref="H15:H18" si="14">G15/$G$7</f>
        <v>0.0583959464907458</v>
      </c>
      <c r="I15" s="29"/>
      <c r="J15" s="127" t="e">
        <f t="shared" ref="J15:J18" si="15">I15/$I$7</f>
        <v>#DIV/0!</v>
      </c>
      <c r="K15" s="29">
        <f t="shared" si="3"/>
        <v>-79666.67</v>
      </c>
      <c r="L15" s="127">
        <f t="shared" si="4"/>
        <v>0</v>
      </c>
      <c r="M15" s="127">
        <f t="shared" si="5"/>
        <v>0</v>
      </c>
    </row>
    <row r="16" s="103" customFormat="1" ht="18" customHeight="1" spans="1:18">
      <c r="A16" s="122"/>
      <c r="B16" s="123" t="s">
        <v>45</v>
      </c>
      <c r="C16" s="150" t="s">
        <v>46</v>
      </c>
      <c r="D16" s="125"/>
      <c r="E16" s="49">
        <v>13000</v>
      </c>
      <c r="F16" s="126">
        <f t="shared" si="13"/>
        <v>0.009529045262965</v>
      </c>
      <c r="G16" s="49">
        <v>13000</v>
      </c>
      <c r="H16" s="127">
        <f t="shared" si="14"/>
        <v>0.009529045262965</v>
      </c>
      <c r="I16" s="29"/>
      <c r="J16" s="127" t="e">
        <f t="shared" si="15"/>
        <v>#DIV/0!</v>
      </c>
      <c r="K16" s="29">
        <f t="shared" si="3"/>
        <v>-13000</v>
      </c>
      <c r="L16" s="127">
        <f t="shared" si="4"/>
        <v>0</v>
      </c>
      <c r="M16" s="127">
        <f t="shared" si="5"/>
        <v>0</v>
      </c>
    </row>
    <row r="17" s="103" customFormat="1" ht="18" customHeight="1" spans="1:18">
      <c r="A17" s="122"/>
      <c r="B17" s="123" t="s">
        <v>47</v>
      </c>
      <c r="C17" s="150" t="s">
        <v>48</v>
      </c>
      <c r="D17" s="125"/>
      <c r="E17" s="49">
        <v>36250</v>
      </c>
      <c r="F17" s="126">
        <f t="shared" si="13"/>
        <v>0.026571376214037</v>
      </c>
      <c r="G17" s="49">
        <v>36250</v>
      </c>
      <c r="H17" s="127">
        <f t="shared" si="14"/>
        <v>0.026571376214037</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1000</v>
      </c>
      <c r="F18" s="126">
        <f t="shared" si="13"/>
        <v>0.000733003481766538</v>
      </c>
      <c r="G18" s="56">
        <v>1000</v>
      </c>
      <c r="H18" s="127">
        <f t="shared" si="14"/>
        <v>0.000733003481766538</v>
      </c>
      <c r="I18" s="29"/>
      <c r="J18" s="127" t="e">
        <f t="shared" si="15"/>
        <v>#DIV/0!</v>
      </c>
      <c r="K18" s="29">
        <f t="shared" si="3"/>
        <v>-1000</v>
      </c>
      <c r="L18" s="127">
        <f t="shared" si="4"/>
        <v>0</v>
      </c>
      <c r="M18" s="127">
        <f t="shared" si="5"/>
        <v>0</v>
      </c>
    </row>
    <row r="19" s="103" customFormat="1" ht="18" customHeight="1" spans="1:18">
      <c r="A19" s="145" t="s">
        <v>51</v>
      </c>
      <c r="B19" s="151" t="s">
        <v>52</v>
      </c>
      <c r="C19" s="152" t="s">
        <v>51</v>
      </c>
      <c r="D19" s="132" t="s">
        <v>53</v>
      </c>
      <c r="E19" s="133">
        <f t="shared" ref="E19:I19" si="16">SUM(E15:E18)</f>
        <v>129916.67</v>
      </c>
      <c r="F19" s="153"/>
      <c r="G19" s="133">
        <f t="shared" si="16"/>
        <v>129916.67</v>
      </c>
      <c r="H19" s="154"/>
      <c r="I19" s="133">
        <f t="shared" si="16"/>
        <v>0</v>
      </c>
      <c r="J19" s="154"/>
      <c r="K19" s="133">
        <f t="shared" si="3"/>
        <v>-129916.67</v>
      </c>
      <c r="L19" s="135">
        <f t="shared" si="4"/>
        <v>0</v>
      </c>
      <c r="M19" s="135">
        <f t="shared" si="5"/>
        <v>0</v>
      </c>
    </row>
    <row r="20" s="103" customFormat="1" ht="18" customHeight="1" spans="1:18">
      <c r="A20" s="155" t="s">
        <v>54</v>
      </c>
      <c r="B20" s="131" t="s">
        <v>55</v>
      </c>
      <c r="C20" s="131" t="s">
        <v>56</v>
      </c>
      <c r="D20" s="132" t="s">
        <v>57</v>
      </c>
      <c r="E20" s="133">
        <f t="shared" ref="E20:I20" si="17">E14-E19</f>
        <v>601127.388252427</v>
      </c>
      <c r="F20" s="156"/>
      <c r="G20" s="133">
        <f t="shared" si="17"/>
        <v>601127.388252427</v>
      </c>
      <c r="H20" s="154"/>
      <c r="I20" s="133">
        <f t="shared" si="17"/>
        <v>0</v>
      </c>
      <c r="J20" s="154"/>
      <c r="K20" s="133">
        <f t="shared" si="3"/>
        <v>-601127.388252427</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v>3328</v>
      </c>
      <c r="F22" s="158"/>
      <c r="G22" s="29">
        <v>3328</v>
      </c>
      <c r="H22" s="159"/>
      <c r="I22" s="29"/>
      <c r="J22" s="159"/>
      <c r="K22" s="29">
        <f t="shared" si="3"/>
        <v>-3328</v>
      </c>
      <c r="L22" s="127">
        <f t="shared" si="4"/>
        <v>0</v>
      </c>
      <c r="M22" s="127">
        <f t="shared" si="5"/>
        <v>0</v>
      </c>
    </row>
    <row r="23" s="103" customFormat="1" ht="18" customHeight="1" spans="1:18">
      <c r="A23" s="145" t="s">
        <v>66</v>
      </c>
      <c r="B23" s="131" t="s">
        <v>67</v>
      </c>
      <c r="C23" s="131" t="s">
        <v>68</v>
      </c>
      <c r="D23" s="132" t="s">
        <v>69</v>
      </c>
      <c r="E23" s="133">
        <f t="shared" ref="E23:I23" si="18">E20/E22</f>
        <v>180.627220027773</v>
      </c>
      <c r="F23" s="160"/>
      <c r="G23" s="133">
        <f t="shared" si="18"/>
        <v>180.627220027773</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104942.307692308</v>
      </c>
      <c r="F25" s="158"/>
      <c r="G25" s="29">
        <f t="shared" si="19"/>
        <v>104942.307692308</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95000</v>
      </c>
      <c r="F27" s="158"/>
      <c r="G27" s="166">
        <v>95000</v>
      </c>
      <c r="H27" s="159"/>
      <c r="I27" s="166"/>
      <c r="J27" s="159"/>
      <c r="K27" s="166">
        <f t="shared" ref="K27:K30" si="20">I27-G27</f>
        <v>-95000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506127.388252427</v>
      </c>
      <c r="F28" s="158"/>
      <c r="G28" s="158">
        <f t="shared" si="23"/>
        <v>506127.388252427</v>
      </c>
      <c r="H28" s="159" t="s">
        <v>62</v>
      </c>
      <c r="I28" s="158">
        <f t="shared" si="23"/>
        <v>0</v>
      </c>
      <c r="J28" s="159" t="s">
        <v>62</v>
      </c>
      <c r="K28" s="166">
        <f t="shared" si="20"/>
        <v>-506127.388252427</v>
      </c>
      <c r="L28" s="127">
        <f t="shared" si="21"/>
        <v>0</v>
      </c>
      <c r="M28" s="127">
        <f t="shared" si="22"/>
        <v>0</v>
      </c>
    </row>
    <row r="29" s="103" customFormat="1" ht="18" customHeight="1" spans="1:18">
      <c r="A29" s="136"/>
      <c r="B29" s="167" t="s">
        <v>84</v>
      </c>
      <c r="C29" s="123" t="s">
        <v>85</v>
      </c>
      <c r="D29" s="125" t="s">
        <v>86</v>
      </c>
      <c r="E29" s="168">
        <f t="shared" ref="E29:I29" si="24">E28/E7*100%</f>
        <v>0.370993137806434</v>
      </c>
      <c r="F29" s="158"/>
      <c r="G29" s="168">
        <f t="shared" si="24"/>
        <v>0.370993137806434</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28.5456730769231</v>
      </c>
      <c r="F30" s="158"/>
      <c r="G30" s="158">
        <f t="shared" si="25"/>
        <v>28.5456730769231</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G33" sqref="G33"/>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97</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300000</v>
      </c>
      <c r="F3" s="126">
        <f t="shared" ref="F3:F6" si="0">E3/$E$7</f>
        <v>0.825536598789213</v>
      </c>
      <c r="G3" s="33">
        <v>300000</v>
      </c>
      <c r="H3" s="127">
        <f t="shared" ref="H3:H6" si="1">G3/$G$7</f>
        <v>0.825536598789213</v>
      </c>
      <c r="I3" s="29"/>
      <c r="J3" s="127" t="e">
        <f t="shared" ref="J3:J6" si="2">I3/$I$7</f>
        <v>#DIV/0!</v>
      </c>
      <c r="K3" s="29">
        <f t="shared" ref="K3:K22" si="3">I3-G3</f>
        <v>-300000</v>
      </c>
      <c r="L3" s="127">
        <f t="shared" ref="L3:L25" si="4">I3/G3</f>
        <v>0</v>
      </c>
      <c r="M3" s="127">
        <f t="shared" ref="M3:M25" si="5">I3/E3</f>
        <v>0</v>
      </c>
    </row>
    <row r="4" s="103" customFormat="1" ht="18" customHeight="1" spans="1:18">
      <c r="A4" s="122"/>
      <c r="B4" s="123" t="s">
        <v>15</v>
      </c>
      <c r="C4" s="128" t="s">
        <v>16</v>
      </c>
      <c r="D4" s="125"/>
      <c r="E4" s="33">
        <v>23400</v>
      </c>
      <c r="F4" s="126">
        <f t="shared" si="0"/>
        <v>0.0643918547055586</v>
      </c>
      <c r="G4" s="33">
        <v>23400</v>
      </c>
      <c r="H4" s="127">
        <f t="shared" si="1"/>
        <v>0.0643918547055586</v>
      </c>
      <c r="I4" s="29"/>
      <c r="J4" s="127" t="e">
        <f t="shared" si="2"/>
        <v>#DIV/0!</v>
      </c>
      <c r="K4" s="29">
        <f t="shared" si="3"/>
        <v>-23400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40000</v>
      </c>
      <c r="F6" s="126">
        <f t="shared" si="0"/>
        <v>0.110071546505228</v>
      </c>
      <c r="G6" s="33">
        <v>40000</v>
      </c>
      <c r="H6" s="127">
        <f t="shared" si="1"/>
        <v>0.110071546505228</v>
      </c>
      <c r="I6" s="29"/>
      <c r="J6" s="127" t="e">
        <f t="shared" si="2"/>
        <v>#DIV/0!</v>
      </c>
      <c r="K6" s="29">
        <f t="shared" si="3"/>
        <v>-40000</v>
      </c>
      <c r="L6" s="127">
        <f t="shared" si="4"/>
        <v>0</v>
      </c>
      <c r="M6" s="127">
        <f t="shared" si="5"/>
        <v>0</v>
      </c>
    </row>
    <row r="7" s="103" customFormat="1" ht="18" customHeight="1" spans="1:18">
      <c r="A7" s="130"/>
      <c r="B7" s="131" t="s">
        <v>22</v>
      </c>
      <c r="C7" s="131" t="s">
        <v>23</v>
      </c>
      <c r="D7" s="132" t="s">
        <v>24</v>
      </c>
      <c r="E7" s="133">
        <f t="shared" ref="E7:J7" si="6">SUM(E3:E6)</f>
        <v>363400</v>
      </c>
      <c r="F7" s="134">
        <f t="shared" si="6"/>
        <v>1</v>
      </c>
      <c r="G7" s="33">
        <f t="shared" si="6"/>
        <v>363400</v>
      </c>
      <c r="H7" s="135">
        <f t="shared" si="6"/>
        <v>1</v>
      </c>
      <c r="I7" s="33">
        <f t="shared" si="6"/>
        <v>0</v>
      </c>
      <c r="J7" s="135" t="e">
        <f t="shared" si="6"/>
        <v>#DIV/0!</v>
      </c>
      <c r="K7" s="133">
        <f t="shared" si="3"/>
        <v>-363400</v>
      </c>
      <c r="L7" s="135">
        <f t="shared" si="4"/>
        <v>0</v>
      </c>
      <c r="M7" s="135">
        <f t="shared" si="5"/>
        <v>0</v>
      </c>
    </row>
    <row r="8" s="103" customFormat="1" ht="18" customHeight="1" spans="1:18">
      <c r="A8" s="136" t="s">
        <v>25</v>
      </c>
      <c r="B8" s="137" t="s">
        <v>26</v>
      </c>
      <c r="C8" s="138" t="s">
        <v>27</v>
      </c>
      <c r="D8" s="139"/>
      <c r="E8" s="48">
        <v>119717.912621359</v>
      </c>
      <c r="F8" s="140">
        <f t="shared" ref="F8:F13" si="7">E8/$E$7</f>
        <v>0.32943839466527</v>
      </c>
      <c r="G8" s="48">
        <v>119717.912621359</v>
      </c>
      <c r="H8" s="141">
        <f t="shared" ref="H8:H12" si="8">G8/$G$7</f>
        <v>0.32943839466527</v>
      </c>
      <c r="I8" s="47"/>
      <c r="J8" s="127" t="e">
        <f t="shared" ref="J8:J12" si="9">I8/$I$7</f>
        <v>#DIV/0!</v>
      </c>
      <c r="K8" s="29">
        <f t="shared" si="3"/>
        <v>-119717.912621359</v>
      </c>
      <c r="L8" s="127">
        <f t="shared" si="4"/>
        <v>0</v>
      </c>
      <c r="M8" s="127">
        <f t="shared" si="5"/>
        <v>0</v>
      </c>
      <c r="Q8" s="103" t="s">
        <v>17</v>
      </c>
    </row>
    <row r="9" s="103" customFormat="1" ht="18" customHeight="1" spans="1:18">
      <c r="A9" s="136"/>
      <c r="B9" s="137" t="s">
        <v>28</v>
      </c>
      <c r="C9" s="138" t="s">
        <v>29</v>
      </c>
      <c r="D9" s="139"/>
      <c r="E9" s="48">
        <v>5850</v>
      </c>
      <c r="F9" s="140">
        <f t="shared" si="7"/>
        <v>0.0160979636763897</v>
      </c>
      <c r="G9" s="48">
        <v>5850</v>
      </c>
      <c r="H9" s="141">
        <f t="shared" si="8"/>
        <v>0.0160979636763897</v>
      </c>
      <c r="I9" s="47"/>
      <c r="J9" s="127" t="e">
        <f t="shared" si="9"/>
        <v>#DIV/0!</v>
      </c>
      <c r="K9" s="29">
        <f t="shared" si="3"/>
        <v>-5850</v>
      </c>
      <c r="L9" s="127">
        <f t="shared" si="4"/>
        <v>0</v>
      </c>
      <c r="M9" s="127">
        <f t="shared" si="5"/>
        <v>0</v>
      </c>
    </row>
    <row r="10" s="103" customFormat="1" ht="18" customHeight="1" spans="1:18">
      <c r="A10" s="136"/>
      <c r="B10" s="137" t="s">
        <v>30</v>
      </c>
      <c r="C10" s="138" t="s">
        <v>31</v>
      </c>
      <c r="D10" s="139"/>
      <c r="E10" s="49">
        <v>21000</v>
      </c>
      <c r="F10" s="140">
        <f t="shared" si="7"/>
        <v>0.0577875619152449</v>
      </c>
      <c r="G10" s="49">
        <v>21000</v>
      </c>
      <c r="H10" s="141">
        <f t="shared" si="8"/>
        <v>0.0577875619152449</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15000</v>
      </c>
      <c r="F11" s="140">
        <f t="shared" si="7"/>
        <v>0.0412768299394606</v>
      </c>
      <c r="G11" s="48">
        <v>15000</v>
      </c>
      <c r="H11" s="141">
        <f t="shared" si="8"/>
        <v>0.0412768299394606</v>
      </c>
      <c r="I11" s="47"/>
      <c r="J11" s="127" t="e">
        <f t="shared" si="9"/>
        <v>#DIV/0!</v>
      </c>
      <c r="K11" s="29">
        <f t="shared" si="3"/>
        <v>-15000</v>
      </c>
      <c r="L11" s="127">
        <f t="shared" si="4"/>
        <v>0</v>
      </c>
      <c r="M11" s="127">
        <f t="shared" si="5"/>
        <v>0</v>
      </c>
    </row>
    <row r="12" s="103" customFormat="1" ht="18" customHeight="1" spans="1:18">
      <c r="A12" s="136"/>
      <c r="B12" s="137" t="s">
        <v>34</v>
      </c>
      <c r="C12" s="138" t="s">
        <v>35</v>
      </c>
      <c r="D12" s="139"/>
      <c r="E12" s="28">
        <v>5000</v>
      </c>
      <c r="F12" s="140">
        <f t="shared" si="7"/>
        <v>0.0137589433131535</v>
      </c>
      <c r="G12" s="28">
        <v>5000</v>
      </c>
      <c r="H12" s="141">
        <f t="shared" si="8"/>
        <v>0.0137589433131535</v>
      </c>
      <c r="I12" s="47"/>
      <c r="J12" s="127" t="e">
        <f t="shared" si="9"/>
        <v>#DIV/0!</v>
      </c>
      <c r="K12" s="29">
        <f t="shared" si="3"/>
        <v>-5000</v>
      </c>
      <c r="L12" s="127">
        <f t="shared" si="4"/>
        <v>0</v>
      </c>
      <c r="M12" s="127">
        <f t="shared" si="5"/>
        <v>0</v>
      </c>
    </row>
    <row r="13" s="103" customFormat="1" ht="18" customHeight="1" spans="1:18">
      <c r="A13" s="136"/>
      <c r="B13" s="137" t="s">
        <v>36</v>
      </c>
      <c r="C13" s="142" t="s">
        <v>37</v>
      </c>
      <c r="D13" s="143" t="s">
        <v>38</v>
      </c>
      <c r="E13" s="144">
        <f t="shared" ref="E13:I13" si="10">SUM(E8:E12)</f>
        <v>166567.912621359</v>
      </c>
      <c r="F13" s="140">
        <f t="shared" si="7"/>
        <v>0.458359693509519</v>
      </c>
      <c r="G13" s="144">
        <f t="shared" si="10"/>
        <v>166567.912621359</v>
      </c>
      <c r="H13" s="141">
        <f t="shared" si="10"/>
        <v>0.458359693509519</v>
      </c>
      <c r="I13" s="47">
        <f t="shared" si="10"/>
        <v>0</v>
      </c>
      <c r="J13" s="127" t="e">
        <f>SUM(J8:J10)</f>
        <v>#DIV/0!</v>
      </c>
      <c r="K13" s="29">
        <f t="shared" si="3"/>
        <v>-166567.912621359</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196832.087378641</v>
      </c>
      <c r="F14" s="149">
        <f t="shared" ref="F14:J14" si="12">E14/E7</f>
        <v>0.541640306490481</v>
      </c>
      <c r="G14" s="148">
        <f t="shared" si="11"/>
        <v>196832.087378641</v>
      </c>
      <c r="H14" s="149">
        <f t="shared" si="12"/>
        <v>0.541640306490481</v>
      </c>
      <c r="I14" s="148">
        <f t="shared" si="11"/>
        <v>0</v>
      </c>
      <c r="J14" s="134" t="e">
        <f t="shared" si="12"/>
        <v>#DIV/0!</v>
      </c>
      <c r="K14" s="133">
        <f t="shared" si="3"/>
        <v>-196832.087378641</v>
      </c>
      <c r="L14" s="135">
        <f t="shared" si="4"/>
        <v>0</v>
      </c>
      <c r="M14" s="135">
        <f t="shared" si="5"/>
        <v>0</v>
      </c>
    </row>
    <row r="15" s="103" customFormat="1" ht="18" customHeight="1" spans="1:18">
      <c r="A15" s="122" t="s">
        <v>42</v>
      </c>
      <c r="B15" s="123" t="s">
        <v>43</v>
      </c>
      <c r="C15" s="150" t="s">
        <v>44</v>
      </c>
      <c r="D15" s="125"/>
      <c r="E15" s="28">
        <v>73666.67</v>
      </c>
      <c r="F15" s="126">
        <f t="shared" ref="F15:F18" si="13">E15/$E$7</f>
        <v>0.202715107319758</v>
      </c>
      <c r="G15" s="28">
        <v>73666.67</v>
      </c>
      <c r="H15" s="127">
        <f t="shared" ref="H15:H18" si="14">G15/$G$7</f>
        <v>0.202715107319758</v>
      </c>
      <c r="I15" s="29"/>
      <c r="J15" s="127" t="e">
        <f t="shared" ref="J15:J18" si="15">I15/$I$7</f>
        <v>#DIV/0!</v>
      </c>
      <c r="K15" s="29">
        <f t="shared" si="3"/>
        <v>-73666.67</v>
      </c>
      <c r="L15" s="127">
        <f t="shared" si="4"/>
        <v>0</v>
      </c>
      <c r="M15" s="127">
        <f t="shared" si="5"/>
        <v>0</v>
      </c>
    </row>
    <row r="16" s="103" customFormat="1" ht="18" customHeight="1" spans="1:18">
      <c r="A16" s="122"/>
      <c r="B16" s="123" t="s">
        <v>45</v>
      </c>
      <c r="C16" s="150" t="s">
        <v>46</v>
      </c>
      <c r="D16" s="125"/>
      <c r="E16" s="49">
        <v>10000</v>
      </c>
      <c r="F16" s="126">
        <f t="shared" si="13"/>
        <v>0.0275178866263071</v>
      </c>
      <c r="G16" s="49">
        <v>10000</v>
      </c>
      <c r="H16" s="127">
        <f t="shared" si="14"/>
        <v>0.0275178866263071</v>
      </c>
      <c r="I16" s="29"/>
      <c r="J16" s="127" t="e">
        <f t="shared" si="15"/>
        <v>#DIV/0!</v>
      </c>
      <c r="K16" s="29">
        <f t="shared" si="3"/>
        <v>-10000</v>
      </c>
      <c r="L16" s="127">
        <f t="shared" si="4"/>
        <v>0</v>
      </c>
      <c r="M16" s="127">
        <f t="shared" si="5"/>
        <v>0</v>
      </c>
    </row>
    <row r="17" s="103" customFormat="1" ht="18" customHeight="1" spans="1:18">
      <c r="A17" s="122"/>
      <c r="B17" s="123" t="s">
        <v>47</v>
      </c>
      <c r="C17" s="150" t="s">
        <v>48</v>
      </c>
      <c r="D17" s="125"/>
      <c r="E17" s="49">
        <v>36250</v>
      </c>
      <c r="F17" s="126">
        <f t="shared" si="13"/>
        <v>0.0997523390203632</v>
      </c>
      <c r="G17" s="49">
        <v>36250</v>
      </c>
      <c r="H17" s="127">
        <f t="shared" si="14"/>
        <v>0.0997523390203632</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500</v>
      </c>
      <c r="F18" s="126">
        <f t="shared" si="13"/>
        <v>0.00137589433131536</v>
      </c>
      <c r="G18" s="56">
        <v>500</v>
      </c>
      <c r="H18" s="127">
        <f t="shared" si="14"/>
        <v>0.00137589433131536</v>
      </c>
      <c r="I18" s="29"/>
      <c r="J18" s="127" t="e">
        <f t="shared" si="15"/>
        <v>#DIV/0!</v>
      </c>
      <c r="K18" s="29">
        <f t="shared" si="3"/>
        <v>-500</v>
      </c>
      <c r="L18" s="127">
        <f t="shared" si="4"/>
        <v>0</v>
      </c>
      <c r="M18" s="127">
        <f t="shared" si="5"/>
        <v>0</v>
      </c>
    </row>
    <row r="19" s="103" customFormat="1" ht="18" customHeight="1" spans="1:18">
      <c r="A19" s="145" t="s">
        <v>51</v>
      </c>
      <c r="B19" s="151" t="s">
        <v>52</v>
      </c>
      <c r="C19" s="152" t="s">
        <v>51</v>
      </c>
      <c r="D19" s="132" t="s">
        <v>53</v>
      </c>
      <c r="E19" s="133">
        <f t="shared" ref="E19:I19" si="16">SUM(E15:E18)</f>
        <v>120416.67</v>
      </c>
      <c r="F19" s="153"/>
      <c r="G19" s="133">
        <f t="shared" si="16"/>
        <v>120416.67</v>
      </c>
      <c r="H19" s="154"/>
      <c r="I19" s="133">
        <f t="shared" si="16"/>
        <v>0</v>
      </c>
      <c r="J19" s="154"/>
      <c r="K19" s="133">
        <f t="shared" si="3"/>
        <v>-120416.67</v>
      </c>
      <c r="L19" s="135">
        <f t="shared" si="4"/>
        <v>0</v>
      </c>
      <c r="M19" s="135">
        <f t="shared" si="5"/>
        <v>0</v>
      </c>
    </row>
    <row r="20" s="103" customFormat="1" ht="18" customHeight="1" spans="1:18">
      <c r="A20" s="155" t="s">
        <v>54</v>
      </c>
      <c r="B20" s="131" t="s">
        <v>55</v>
      </c>
      <c r="C20" s="131" t="s">
        <v>56</v>
      </c>
      <c r="D20" s="132" t="s">
        <v>57</v>
      </c>
      <c r="E20" s="133">
        <f t="shared" ref="E20:I20" si="17">E14-E19</f>
        <v>76415.4173786408</v>
      </c>
      <c r="F20" s="156"/>
      <c r="G20" s="133">
        <f t="shared" si="17"/>
        <v>76415.4173786408</v>
      </c>
      <c r="H20" s="154"/>
      <c r="I20" s="133">
        <f t="shared" si="17"/>
        <v>0</v>
      </c>
      <c r="J20" s="154"/>
      <c r="K20" s="133">
        <f t="shared" si="3"/>
        <v>-76415.4173786408</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26.8312561020508</v>
      </c>
      <c r="F23" s="160"/>
      <c r="G23" s="133">
        <f t="shared" si="18"/>
        <v>26.8312561020508</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27953.8461538462</v>
      </c>
      <c r="F25" s="158"/>
      <c r="G25" s="29">
        <f t="shared" si="19"/>
        <v>27953.8461538462</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65000</v>
      </c>
      <c r="F27" s="158"/>
      <c r="G27" s="166">
        <v>65000</v>
      </c>
      <c r="H27" s="159"/>
      <c r="I27" s="166"/>
      <c r="J27" s="159"/>
      <c r="K27" s="166">
        <f t="shared" ref="K27:K30" si="20">I27-G27</f>
        <v>-65000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11415.4173786408</v>
      </c>
      <c r="F28" s="158"/>
      <c r="G28" s="158">
        <f t="shared" si="23"/>
        <v>11415.4173786408</v>
      </c>
      <c r="H28" s="159" t="s">
        <v>62</v>
      </c>
      <c r="I28" s="158">
        <f t="shared" si="23"/>
        <v>0</v>
      </c>
      <c r="J28" s="159" t="s">
        <v>62</v>
      </c>
      <c r="K28" s="166">
        <f t="shared" si="20"/>
        <v>-11415.4173786408</v>
      </c>
      <c r="L28" s="127">
        <f t="shared" si="21"/>
        <v>0</v>
      </c>
      <c r="M28" s="127">
        <f t="shared" si="22"/>
        <v>0</v>
      </c>
    </row>
    <row r="29" s="103" customFormat="1" ht="18" customHeight="1" spans="1:18">
      <c r="A29" s="136"/>
      <c r="B29" s="167" t="s">
        <v>84</v>
      </c>
      <c r="C29" s="123" t="s">
        <v>85</v>
      </c>
      <c r="D29" s="125" t="s">
        <v>86</v>
      </c>
      <c r="E29" s="168">
        <f t="shared" ref="E29:I29" si="24">E28/E7*100%</f>
        <v>0.0314128161217413</v>
      </c>
      <c r="F29" s="158"/>
      <c r="G29" s="168">
        <f t="shared" si="24"/>
        <v>0.0314128161217413</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22.8230337078652</v>
      </c>
      <c r="F30" s="158"/>
      <c r="G30" s="158">
        <f t="shared" si="25"/>
        <v>22.8230337078652</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E15" sqref="E15:E1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98</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520000</v>
      </c>
      <c r="F3" s="126">
        <f t="shared" ref="F3:F6" si="0">E3/$E$7</f>
        <v>0.865858532036766</v>
      </c>
      <c r="G3" s="33">
        <v>520000</v>
      </c>
      <c r="H3" s="127">
        <f t="shared" ref="H3:H6" si="1">G3/$G$7</f>
        <v>0.865858532036766</v>
      </c>
      <c r="I3" s="29"/>
      <c r="J3" s="127" t="e">
        <f t="shared" ref="J3:J6" si="2">I3/$I$7</f>
        <v>#DIV/0!</v>
      </c>
      <c r="K3" s="29">
        <f t="shared" ref="K3:K22" si="3">I3-G3</f>
        <v>-520000</v>
      </c>
      <c r="L3" s="127">
        <f t="shared" ref="L3:L25" si="4">I3/G3</f>
        <v>0</v>
      </c>
      <c r="M3" s="127">
        <f t="shared" ref="M3:M25" si="5">I3/E3</f>
        <v>0</v>
      </c>
    </row>
    <row r="4" s="103" customFormat="1" ht="18" customHeight="1" spans="1:18">
      <c r="A4" s="122"/>
      <c r="B4" s="123" t="s">
        <v>15</v>
      </c>
      <c r="C4" s="128" t="s">
        <v>16</v>
      </c>
      <c r="D4" s="125"/>
      <c r="E4" s="33">
        <v>40560</v>
      </c>
      <c r="F4" s="126">
        <f t="shared" si="0"/>
        <v>0.0675369654988677</v>
      </c>
      <c r="G4" s="33">
        <v>40560</v>
      </c>
      <c r="H4" s="127">
        <f t="shared" si="1"/>
        <v>0.0675369654988677</v>
      </c>
      <c r="I4" s="29"/>
      <c r="J4" s="127" t="e">
        <f t="shared" si="2"/>
        <v>#DIV/0!</v>
      </c>
      <c r="K4" s="29">
        <f t="shared" si="3"/>
        <v>-40560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40000</v>
      </c>
      <c r="F6" s="126">
        <f t="shared" si="0"/>
        <v>0.0666045024643666</v>
      </c>
      <c r="G6" s="33">
        <v>40000</v>
      </c>
      <c r="H6" s="127">
        <f t="shared" si="1"/>
        <v>0.0666045024643666</v>
      </c>
      <c r="I6" s="29"/>
      <c r="J6" s="127" t="e">
        <f t="shared" si="2"/>
        <v>#DIV/0!</v>
      </c>
      <c r="K6" s="29">
        <f t="shared" si="3"/>
        <v>-40000</v>
      </c>
      <c r="L6" s="127">
        <f t="shared" si="4"/>
        <v>0</v>
      </c>
      <c r="M6" s="127">
        <f t="shared" si="5"/>
        <v>0</v>
      </c>
    </row>
    <row r="7" s="103" customFormat="1" ht="18" customHeight="1" spans="1:18">
      <c r="A7" s="130"/>
      <c r="B7" s="131" t="s">
        <v>22</v>
      </c>
      <c r="C7" s="131" t="s">
        <v>23</v>
      </c>
      <c r="D7" s="132" t="s">
        <v>24</v>
      </c>
      <c r="E7" s="133">
        <f t="shared" ref="E7:J7" si="6">SUM(E3:E6)</f>
        <v>600560</v>
      </c>
      <c r="F7" s="134">
        <f t="shared" si="6"/>
        <v>1</v>
      </c>
      <c r="G7" s="33">
        <f t="shared" si="6"/>
        <v>600560</v>
      </c>
      <c r="H7" s="135">
        <f t="shared" si="6"/>
        <v>1</v>
      </c>
      <c r="I7" s="33">
        <f t="shared" si="6"/>
        <v>0</v>
      </c>
      <c r="J7" s="135" t="e">
        <f t="shared" si="6"/>
        <v>#DIV/0!</v>
      </c>
      <c r="K7" s="133">
        <f t="shared" si="3"/>
        <v>-600560</v>
      </c>
      <c r="L7" s="135">
        <f t="shared" si="4"/>
        <v>0</v>
      </c>
      <c r="M7" s="135">
        <f t="shared" si="5"/>
        <v>0</v>
      </c>
    </row>
    <row r="8" s="103" customFormat="1" ht="18" customHeight="1" spans="1:18">
      <c r="A8" s="136" t="s">
        <v>25</v>
      </c>
      <c r="B8" s="137" t="s">
        <v>26</v>
      </c>
      <c r="C8" s="138" t="s">
        <v>27</v>
      </c>
      <c r="D8" s="139"/>
      <c r="E8" s="48">
        <v>207511.048543689</v>
      </c>
      <c r="F8" s="140">
        <f t="shared" ref="F8:F13" si="7">E8/$E$7</f>
        <v>0.345529253602786</v>
      </c>
      <c r="G8" s="48">
        <v>207511.048543689</v>
      </c>
      <c r="H8" s="141">
        <f t="shared" ref="H8:H12" si="8">G8/$G$7</f>
        <v>0.345529253602786</v>
      </c>
      <c r="I8" s="47"/>
      <c r="J8" s="127" t="e">
        <f t="shared" ref="J8:J12" si="9">I8/$I$7</f>
        <v>#DIV/0!</v>
      </c>
      <c r="K8" s="29">
        <f t="shared" si="3"/>
        <v>-207511.048543689</v>
      </c>
      <c r="L8" s="127">
        <f t="shared" si="4"/>
        <v>0</v>
      </c>
      <c r="M8" s="127">
        <f t="shared" si="5"/>
        <v>0</v>
      </c>
      <c r="Q8" s="103" t="s">
        <v>17</v>
      </c>
    </row>
    <row r="9" s="103" customFormat="1" ht="18" customHeight="1" spans="1:18">
      <c r="A9" s="136"/>
      <c r="B9" s="137" t="s">
        <v>28</v>
      </c>
      <c r="C9" s="138" t="s">
        <v>29</v>
      </c>
      <c r="D9" s="139"/>
      <c r="E9" s="48">
        <v>10140</v>
      </c>
      <c r="F9" s="140">
        <f t="shared" si="7"/>
        <v>0.0168842413747169</v>
      </c>
      <c r="G9" s="48">
        <v>10140</v>
      </c>
      <c r="H9" s="141">
        <f t="shared" si="8"/>
        <v>0.0168842413747169</v>
      </c>
      <c r="I9" s="47"/>
      <c r="J9" s="127" t="e">
        <f t="shared" si="9"/>
        <v>#DIV/0!</v>
      </c>
      <c r="K9" s="29">
        <f t="shared" si="3"/>
        <v>-10140</v>
      </c>
      <c r="L9" s="127">
        <f t="shared" si="4"/>
        <v>0</v>
      </c>
      <c r="M9" s="127">
        <f t="shared" si="5"/>
        <v>0</v>
      </c>
    </row>
    <row r="10" s="103" customFormat="1" ht="18" customHeight="1" spans="1:18">
      <c r="A10" s="136"/>
      <c r="B10" s="137" t="s">
        <v>30</v>
      </c>
      <c r="C10" s="138" t="s">
        <v>31</v>
      </c>
      <c r="D10" s="139"/>
      <c r="E10" s="49">
        <v>22000</v>
      </c>
      <c r="F10" s="140">
        <f t="shared" si="7"/>
        <v>0.0366324763554016</v>
      </c>
      <c r="G10" s="49">
        <v>22000</v>
      </c>
      <c r="H10" s="141">
        <f t="shared" si="8"/>
        <v>0.0366324763554016</v>
      </c>
      <c r="I10" s="47"/>
      <c r="J10" s="127" t="e">
        <f t="shared" si="9"/>
        <v>#DIV/0!</v>
      </c>
      <c r="K10" s="29">
        <f t="shared" si="3"/>
        <v>-22000</v>
      </c>
      <c r="L10" s="127">
        <f t="shared" si="4"/>
        <v>0</v>
      </c>
      <c r="M10" s="127">
        <f t="shared" si="5"/>
        <v>0</v>
      </c>
    </row>
    <row r="11" s="103" customFormat="1" ht="18" customHeight="1" spans="1:18">
      <c r="A11" s="136"/>
      <c r="B11" s="137" t="s">
        <v>32</v>
      </c>
      <c r="C11" s="138" t="s">
        <v>33</v>
      </c>
      <c r="D11" s="139"/>
      <c r="E11" s="48">
        <v>26000</v>
      </c>
      <c r="F11" s="140">
        <f t="shared" si="7"/>
        <v>0.0432929266018383</v>
      </c>
      <c r="G11" s="48">
        <v>26000</v>
      </c>
      <c r="H11" s="141">
        <f t="shared" si="8"/>
        <v>0.0432929266018383</v>
      </c>
      <c r="I11" s="47"/>
      <c r="J11" s="127" t="e">
        <f t="shared" si="9"/>
        <v>#DIV/0!</v>
      </c>
      <c r="K11" s="29">
        <f t="shared" si="3"/>
        <v>-26000</v>
      </c>
      <c r="L11" s="127">
        <f t="shared" si="4"/>
        <v>0</v>
      </c>
      <c r="M11" s="127">
        <f t="shared" si="5"/>
        <v>0</v>
      </c>
    </row>
    <row r="12" s="103" customFormat="1" ht="18" customHeight="1" spans="1:18">
      <c r="A12" s="136"/>
      <c r="B12" s="137" t="s">
        <v>34</v>
      </c>
      <c r="C12" s="138" t="s">
        <v>35</v>
      </c>
      <c r="D12" s="139"/>
      <c r="E12" s="28">
        <v>11000</v>
      </c>
      <c r="F12" s="140">
        <f>E12/$E$7</f>
        <v>0.0183162381777008</v>
      </c>
      <c r="G12" s="28">
        <v>11000</v>
      </c>
      <c r="H12" s="141">
        <f t="shared" si="8"/>
        <v>0.0183162381777008</v>
      </c>
      <c r="I12" s="47"/>
      <c r="J12" s="127" t="e">
        <f t="shared" si="9"/>
        <v>#DIV/0!</v>
      </c>
      <c r="K12" s="29">
        <f t="shared" si="3"/>
        <v>-11000</v>
      </c>
      <c r="L12" s="127">
        <f t="shared" si="4"/>
        <v>0</v>
      </c>
      <c r="M12" s="127">
        <f t="shared" si="5"/>
        <v>0</v>
      </c>
    </row>
    <row r="13" s="103" customFormat="1" ht="18" customHeight="1" spans="1:18">
      <c r="A13" s="136"/>
      <c r="B13" s="137" t="s">
        <v>36</v>
      </c>
      <c r="C13" s="142" t="s">
        <v>37</v>
      </c>
      <c r="D13" s="143" t="s">
        <v>38</v>
      </c>
      <c r="E13" s="144">
        <f t="shared" ref="E13:I13" si="10">SUM(E8:E12)</f>
        <v>276651.048543689</v>
      </c>
      <c r="F13" s="140">
        <f t="shared" si="7"/>
        <v>0.460655136112444</v>
      </c>
      <c r="G13" s="144">
        <f t="shared" si="10"/>
        <v>276651.048543689</v>
      </c>
      <c r="H13" s="141">
        <f t="shared" si="10"/>
        <v>0.460655136112444</v>
      </c>
      <c r="I13" s="47">
        <f t="shared" si="10"/>
        <v>0</v>
      </c>
      <c r="J13" s="127" t="e">
        <f>SUM(J8:J10)</f>
        <v>#DIV/0!</v>
      </c>
      <c r="K13" s="29">
        <f t="shared" si="3"/>
        <v>-276651.048543689</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323908.951456311</v>
      </c>
      <c r="F14" s="149">
        <f t="shared" ref="F14:J14" si="12">E14/E7</f>
        <v>0.539344863887556</v>
      </c>
      <c r="G14" s="148">
        <f t="shared" si="11"/>
        <v>323908.951456311</v>
      </c>
      <c r="H14" s="149">
        <f t="shared" si="12"/>
        <v>0.539344863887556</v>
      </c>
      <c r="I14" s="148">
        <f t="shared" si="11"/>
        <v>0</v>
      </c>
      <c r="J14" s="134" t="e">
        <f t="shared" si="12"/>
        <v>#DIV/0!</v>
      </c>
      <c r="K14" s="133">
        <f t="shared" si="3"/>
        <v>-323908.951456311</v>
      </c>
      <c r="L14" s="135">
        <f t="shared" si="4"/>
        <v>0</v>
      </c>
      <c r="M14" s="135">
        <f t="shared" si="5"/>
        <v>0</v>
      </c>
    </row>
    <row r="15" s="103" customFormat="1" ht="18" customHeight="1" spans="1:18">
      <c r="A15" s="122" t="s">
        <v>42</v>
      </c>
      <c r="B15" s="123" t="s">
        <v>43</v>
      </c>
      <c r="C15" s="150" t="s">
        <v>44</v>
      </c>
      <c r="D15" s="125"/>
      <c r="E15" s="28">
        <v>73666.67</v>
      </c>
      <c r="F15" s="126">
        <f t="shared" ref="F15:F18" si="13">E15/$E$7</f>
        <v>0.122663297588917</v>
      </c>
      <c r="G15" s="28">
        <v>73666.67</v>
      </c>
      <c r="H15" s="127">
        <f t="shared" ref="H15:H18" si="14">G15/$G$7</f>
        <v>0.122663297588917</v>
      </c>
      <c r="I15" s="29"/>
      <c r="J15" s="127" t="e">
        <f t="shared" ref="J15:J18" si="15">I15/$I$7</f>
        <v>#DIV/0!</v>
      </c>
      <c r="K15" s="29">
        <f t="shared" si="3"/>
        <v>-73666.67</v>
      </c>
      <c r="L15" s="127">
        <f t="shared" si="4"/>
        <v>0</v>
      </c>
      <c r="M15" s="127">
        <f t="shared" si="5"/>
        <v>0</v>
      </c>
    </row>
    <row r="16" s="103" customFormat="1" ht="18" customHeight="1" spans="1:18">
      <c r="A16" s="122"/>
      <c r="B16" s="123" t="s">
        <v>45</v>
      </c>
      <c r="C16" s="150" t="s">
        <v>46</v>
      </c>
      <c r="D16" s="125"/>
      <c r="E16" s="49">
        <v>12000</v>
      </c>
      <c r="F16" s="126">
        <f t="shared" si="13"/>
        <v>0.01998135073931</v>
      </c>
      <c r="G16" s="49">
        <v>12000</v>
      </c>
      <c r="H16" s="127">
        <f t="shared" si="14"/>
        <v>0.01998135073931</v>
      </c>
      <c r="I16" s="29"/>
      <c r="J16" s="127" t="e">
        <f t="shared" si="15"/>
        <v>#DIV/0!</v>
      </c>
      <c r="K16" s="29">
        <f t="shared" si="3"/>
        <v>-12000</v>
      </c>
      <c r="L16" s="127">
        <f t="shared" si="4"/>
        <v>0</v>
      </c>
      <c r="M16" s="127">
        <f t="shared" si="5"/>
        <v>0</v>
      </c>
    </row>
    <row r="17" s="103" customFormat="1" ht="18" customHeight="1" spans="1:18">
      <c r="A17" s="122"/>
      <c r="B17" s="123" t="s">
        <v>47</v>
      </c>
      <c r="C17" s="150" t="s">
        <v>48</v>
      </c>
      <c r="D17" s="125"/>
      <c r="E17" s="49">
        <v>36250</v>
      </c>
      <c r="F17" s="126">
        <f t="shared" si="13"/>
        <v>0.0603603303583322</v>
      </c>
      <c r="G17" s="49">
        <v>36250</v>
      </c>
      <c r="H17" s="127">
        <f t="shared" si="14"/>
        <v>0.0603603303583322</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0.00133209004928733</v>
      </c>
      <c r="G18" s="56">
        <v>800</v>
      </c>
      <c r="H18" s="127">
        <f t="shared" si="14"/>
        <v>0.00133209004928733</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122716.67</v>
      </c>
      <c r="F19" s="153"/>
      <c r="G19" s="133">
        <f t="shared" si="16"/>
        <v>122716.67</v>
      </c>
      <c r="H19" s="154"/>
      <c r="I19" s="133">
        <f t="shared" si="16"/>
        <v>0</v>
      </c>
      <c r="J19" s="154"/>
      <c r="K19" s="133">
        <f t="shared" si="3"/>
        <v>-122716.67</v>
      </c>
      <c r="L19" s="135">
        <f t="shared" si="4"/>
        <v>0</v>
      </c>
      <c r="M19" s="135">
        <f t="shared" si="5"/>
        <v>0</v>
      </c>
    </row>
    <row r="20" s="103" customFormat="1" ht="18" customHeight="1" spans="1:18">
      <c r="A20" s="155" t="s">
        <v>54</v>
      </c>
      <c r="B20" s="131" t="s">
        <v>55</v>
      </c>
      <c r="C20" s="131" t="s">
        <v>56</v>
      </c>
      <c r="D20" s="132" t="s">
        <v>57</v>
      </c>
      <c r="E20" s="133">
        <f t="shared" ref="E20:I20" si="17">E14-E19</f>
        <v>201192.281456311</v>
      </c>
      <c r="F20" s="156"/>
      <c r="G20" s="133">
        <f t="shared" si="17"/>
        <v>201192.281456311</v>
      </c>
      <c r="H20" s="154"/>
      <c r="I20" s="133">
        <f t="shared" si="17"/>
        <v>0</v>
      </c>
      <c r="J20" s="154"/>
      <c r="K20" s="133">
        <f t="shared" si="3"/>
        <v>-201192.281456311</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70.6433572529181</v>
      </c>
      <c r="F23" s="160"/>
      <c r="G23" s="133">
        <f t="shared" si="18"/>
        <v>70.6433572529181</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46196.9230769231</v>
      </c>
      <c r="F25" s="158"/>
      <c r="G25" s="29">
        <f t="shared" si="19"/>
        <v>46196.9230769231</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70000</v>
      </c>
      <c r="F27" s="158"/>
      <c r="G27" s="166">
        <v>70000</v>
      </c>
      <c r="H27" s="159"/>
      <c r="I27" s="166"/>
      <c r="J27" s="159"/>
      <c r="K27" s="166">
        <f t="shared" ref="K27:K30" si="20">I27-G27</f>
        <v>-70000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131192.281456311</v>
      </c>
      <c r="F28" s="158"/>
      <c r="G28" s="158">
        <f t="shared" si="23"/>
        <v>131192.281456311</v>
      </c>
      <c r="H28" s="159" t="s">
        <v>62</v>
      </c>
      <c r="I28" s="158">
        <f t="shared" si="23"/>
        <v>0</v>
      </c>
      <c r="J28" s="159" t="s">
        <v>62</v>
      </c>
      <c r="K28" s="166">
        <f t="shared" si="20"/>
        <v>-131192.281456311</v>
      </c>
      <c r="L28" s="127">
        <f t="shared" si="21"/>
        <v>0</v>
      </c>
      <c r="M28" s="127">
        <f t="shared" si="22"/>
        <v>0</v>
      </c>
    </row>
    <row r="29" s="103" customFormat="1" ht="18" customHeight="1" spans="1:18">
      <c r="A29" s="136"/>
      <c r="B29" s="167" t="s">
        <v>84</v>
      </c>
      <c r="C29" s="123" t="s">
        <v>85</v>
      </c>
      <c r="D29" s="125" t="s">
        <v>86</v>
      </c>
      <c r="E29" s="168">
        <f t="shared" ref="E29:I29" si="24">E28/E7*100%</f>
        <v>0.218449915839068</v>
      </c>
      <c r="F29" s="158"/>
      <c r="G29" s="168">
        <f t="shared" si="24"/>
        <v>0.218449915839068</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24.5786516853933</v>
      </c>
      <c r="F30" s="158"/>
      <c r="G30" s="158">
        <f t="shared" si="25"/>
        <v>24.5786516853933</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E15" sqref="E15:E1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99</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380000</v>
      </c>
      <c r="F3" s="126">
        <f t="shared" ref="F3:F6" si="0">E3/$E$7</f>
        <v>0.845120540877146</v>
      </c>
      <c r="G3" s="33">
        <v>380000</v>
      </c>
      <c r="H3" s="127">
        <f t="shared" ref="H3:H6" si="1">G3/$G$7</f>
        <v>0.845120540877146</v>
      </c>
      <c r="I3" s="29"/>
      <c r="J3" s="127" t="e">
        <f t="shared" ref="J3:J6" si="2">I3/$I$7</f>
        <v>#DIV/0!</v>
      </c>
      <c r="K3" s="29">
        <f t="shared" ref="K3:K22" si="3">I3-G3</f>
        <v>-380000</v>
      </c>
      <c r="L3" s="127">
        <f t="shared" ref="L3:L25" si="4">I3/G3</f>
        <v>0</v>
      </c>
      <c r="M3" s="127">
        <f t="shared" ref="M3:M25" si="5">I3/E3</f>
        <v>0</v>
      </c>
    </row>
    <row r="4" s="103" customFormat="1" ht="18" customHeight="1" spans="1:18">
      <c r="A4" s="122"/>
      <c r="B4" s="123" t="s">
        <v>15</v>
      </c>
      <c r="C4" s="128" t="s">
        <v>16</v>
      </c>
      <c r="D4" s="125"/>
      <c r="E4" s="33">
        <v>29640</v>
      </c>
      <c r="F4" s="126">
        <f t="shared" si="0"/>
        <v>0.0659194021884174</v>
      </c>
      <c r="G4" s="33">
        <v>29640</v>
      </c>
      <c r="H4" s="127">
        <f t="shared" si="1"/>
        <v>0.0659194021884174</v>
      </c>
      <c r="I4" s="29"/>
      <c r="J4" s="127" t="e">
        <f t="shared" si="2"/>
        <v>#DIV/0!</v>
      </c>
      <c r="K4" s="29">
        <f t="shared" si="3"/>
        <v>-29640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40000</v>
      </c>
      <c r="F6" s="126">
        <f t="shared" si="0"/>
        <v>0.0889600569344364</v>
      </c>
      <c r="G6" s="33">
        <v>40000</v>
      </c>
      <c r="H6" s="127">
        <f t="shared" si="1"/>
        <v>0.0889600569344364</v>
      </c>
      <c r="I6" s="29"/>
      <c r="J6" s="127" t="e">
        <f t="shared" si="2"/>
        <v>#DIV/0!</v>
      </c>
      <c r="K6" s="29">
        <f t="shared" si="3"/>
        <v>-40000</v>
      </c>
      <c r="L6" s="127">
        <f t="shared" si="4"/>
        <v>0</v>
      </c>
      <c r="M6" s="127">
        <f t="shared" si="5"/>
        <v>0</v>
      </c>
    </row>
    <row r="7" s="103" customFormat="1" ht="18" customHeight="1" spans="1:18">
      <c r="A7" s="130"/>
      <c r="B7" s="131" t="s">
        <v>22</v>
      </c>
      <c r="C7" s="131" t="s">
        <v>23</v>
      </c>
      <c r="D7" s="132" t="s">
        <v>24</v>
      </c>
      <c r="E7" s="133">
        <f t="shared" ref="E7:J7" si="6">SUM(E3:E6)</f>
        <v>449640</v>
      </c>
      <c r="F7" s="134">
        <f t="shared" si="6"/>
        <v>1</v>
      </c>
      <c r="G7" s="33">
        <f t="shared" si="6"/>
        <v>449640</v>
      </c>
      <c r="H7" s="135">
        <f t="shared" si="6"/>
        <v>1</v>
      </c>
      <c r="I7" s="33">
        <f t="shared" si="6"/>
        <v>0</v>
      </c>
      <c r="J7" s="135" t="e">
        <f t="shared" si="6"/>
        <v>#DIV/0!</v>
      </c>
      <c r="K7" s="133">
        <f t="shared" si="3"/>
        <v>-449640</v>
      </c>
      <c r="L7" s="135">
        <f t="shared" si="4"/>
        <v>0</v>
      </c>
      <c r="M7" s="135">
        <f t="shared" si="5"/>
        <v>0</v>
      </c>
    </row>
    <row r="8" s="103" customFormat="1" ht="18" customHeight="1" spans="1:18">
      <c r="A8" s="136" t="s">
        <v>25</v>
      </c>
      <c r="B8" s="137" t="s">
        <v>26</v>
      </c>
      <c r="C8" s="138" t="s">
        <v>27</v>
      </c>
      <c r="D8" s="139"/>
      <c r="E8" s="48">
        <v>151642.689320388</v>
      </c>
      <c r="F8" s="140">
        <f t="shared" ref="F8:F13" si="7">E8/$E$7</f>
        <v>0.33725355689082</v>
      </c>
      <c r="G8" s="48">
        <v>151642.689320388</v>
      </c>
      <c r="H8" s="141">
        <f t="shared" ref="H8:H12" si="8">G8/$G$7</f>
        <v>0.33725355689082</v>
      </c>
      <c r="I8" s="47"/>
      <c r="J8" s="127" t="e">
        <f t="shared" ref="J8:J12" si="9">I8/$I$7</f>
        <v>#DIV/0!</v>
      </c>
      <c r="K8" s="29">
        <f t="shared" si="3"/>
        <v>-151642.689320388</v>
      </c>
      <c r="L8" s="127">
        <f t="shared" si="4"/>
        <v>0</v>
      </c>
      <c r="M8" s="127">
        <f t="shared" si="5"/>
        <v>0</v>
      </c>
      <c r="Q8" s="103" t="s">
        <v>17</v>
      </c>
    </row>
    <row r="9" s="103" customFormat="1" ht="18" customHeight="1" spans="1:18">
      <c r="A9" s="136"/>
      <c r="B9" s="137" t="s">
        <v>28</v>
      </c>
      <c r="C9" s="138" t="s">
        <v>29</v>
      </c>
      <c r="D9" s="139"/>
      <c r="E9" s="48">
        <v>7410</v>
      </c>
      <c r="F9" s="140">
        <f t="shared" si="7"/>
        <v>0.0164798505471043</v>
      </c>
      <c r="G9" s="48">
        <v>7410</v>
      </c>
      <c r="H9" s="141">
        <f t="shared" si="8"/>
        <v>0.0164798505471043</v>
      </c>
      <c r="I9" s="47"/>
      <c r="J9" s="127" t="e">
        <f t="shared" si="9"/>
        <v>#DIV/0!</v>
      </c>
      <c r="K9" s="29">
        <f t="shared" si="3"/>
        <v>-7410</v>
      </c>
      <c r="L9" s="127">
        <f t="shared" si="4"/>
        <v>0</v>
      </c>
      <c r="M9" s="127">
        <f t="shared" si="5"/>
        <v>0</v>
      </c>
    </row>
    <row r="10" s="103" customFormat="1" ht="18" customHeight="1" spans="1:18">
      <c r="A10" s="136"/>
      <c r="B10" s="137" t="s">
        <v>30</v>
      </c>
      <c r="C10" s="138" t="s">
        <v>31</v>
      </c>
      <c r="D10" s="139"/>
      <c r="E10" s="49">
        <v>21000</v>
      </c>
      <c r="F10" s="140">
        <f t="shared" si="7"/>
        <v>0.0467040298905791</v>
      </c>
      <c r="G10" s="49">
        <v>21000</v>
      </c>
      <c r="H10" s="141">
        <f t="shared" si="8"/>
        <v>0.0467040298905791</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19000</v>
      </c>
      <c r="F11" s="140">
        <f t="shared" si="7"/>
        <v>0.0422560270438573</v>
      </c>
      <c r="G11" s="48">
        <v>19000</v>
      </c>
      <c r="H11" s="141">
        <f t="shared" si="8"/>
        <v>0.0422560270438573</v>
      </c>
      <c r="I11" s="47"/>
      <c r="J11" s="127" t="e">
        <f t="shared" si="9"/>
        <v>#DIV/0!</v>
      </c>
      <c r="K11" s="29">
        <f t="shared" si="3"/>
        <v>-19000</v>
      </c>
      <c r="L11" s="127">
        <f t="shared" si="4"/>
        <v>0</v>
      </c>
      <c r="M11" s="127">
        <f t="shared" si="5"/>
        <v>0</v>
      </c>
    </row>
    <row r="12" s="103" customFormat="1" ht="18" customHeight="1" spans="1:18">
      <c r="A12" s="136"/>
      <c r="B12" s="137" t="s">
        <v>34</v>
      </c>
      <c r="C12" s="138" t="s">
        <v>35</v>
      </c>
      <c r="D12" s="139"/>
      <c r="E12" s="28">
        <v>5000</v>
      </c>
      <c r="F12" s="140">
        <f t="shared" si="7"/>
        <v>0.0111200071168046</v>
      </c>
      <c r="G12" s="28">
        <v>5000</v>
      </c>
      <c r="H12" s="141">
        <f t="shared" si="8"/>
        <v>0.0111200071168046</v>
      </c>
      <c r="I12" s="47"/>
      <c r="J12" s="127" t="e">
        <f t="shared" si="9"/>
        <v>#DIV/0!</v>
      </c>
      <c r="K12" s="29">
        <f t="shared" si="3"/>
        <v>-5000</v>
      </c>
      <c r="L12" s="127">
        <f t="shared" si="4"/>
        <v>0</v>
      </c>
      <c r="M12" s="127">
        <f t="shared" si="5"/>
        <v>0</v>
      </c>
    </row>
    <row r="13" s="103" customFormat="1" ht="18" customHeight="1" spans="1:18">
      <c r="A13" s="136"/>
      <c r="B13" s="137" t="s">
        <v>36</v>
      </c>
      <c r="C13" s="142" t="s">
        <v>37</v>
      </c>
      <c r="D13" s="143" t="s">
        <v>38</v>
      </c>
      <c r="E13" s="144">
        <f t="shared" ref="E13:I13" si="10">SUM(E8:E12)</f>
        <v>204052.689320388</v>
      </c>
      <c r="F13" s="140">
        <f t="shared" si="7"/>
        <v>0.453813471489165</v>
      </c>
      <c r="G13" s="144">
        <f t="shared" si="10"/>
        <v>204052.689320388</v>
      </c>
      <c r="H13" s="141">
        <f t="shared" si="10"/>
        <v>0.453813471489165</v>
      </c>
      <c r="I13" s="47">
        <f t="shared" si="10"/>
        <v>0</v>
      </c>
      <c r="J13" s="127" t="e">
        <f>SUM(J8:J10)</f>
        <v>#DIV/0!</v>
      </c>
      <c r="K13" s="29">
        <f t="shared" si="3"/>
        <v>-204052.689320388</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245587.310679612</v>
      </c>
      <c r="F14" s="149">
        <f t="shared" ref="F14:J14" si="12">E14/E7</f>
        <v>0.546186528510834</v>
      </c>
      <c r="G14" s="148">
        <f t="shared" si="11"/>
        <v>245587.310679612</v>
      </c>
      <c r="H14" s="149">
        <f t="shared" si="12"/>
        <v>0.546186528510834</v>
      </c>
      <c r="I14" s="148">
        <f t="shared" si="11"/>
        <v>0</v>
      </c>
      <c r="J14" s="134" t="e">
        <f t="shared" si="12"/>
        <v>#DIV/0!</v>
      </c>
      <c r="K14" s="133">
        <f t="shared" si="3"/>
        <v>-245587.310679612</v>
      </c>
      <c r="L14" s="135">
        <f t="shared" si="4"/>
        <v>0</v>
      </c>
      <c r="M14" s="135">
        <f t="shared" si="5"/>
        <v>0</v>
      </c>
    </row>
    <row r="15" s="103" customFormat="1" ht="18" customHeight="1" spans="1:18">
      <c r="A15" s="122" t="s">
        <v>42</v>
      </c>
      <c r="B15" s="123" t="s">
        <v>43</v>
      </c>
      <c r="C15" s="150" t="s">
        <v>44</v>
      </c>
      <c r="D15" s="125"/>
      <c r="E15" s="28">
        <v>71666.67</v>
      </c>
      <c r="F15" s="126">
        <f t="shared" ref="F15:F18" si="13">E15/$E$7</f>
        <v>0.159386776087537</v>
      </c>
      <c r="G15" s="28">
        <v>71666.67</v>
      </c>
      <c r="H15" s="127">
        <f t="shared" ref="H15:H18" si="14">G15/$G$7</f>
        <v>0.159386776087537</v>
      </c>
      <c r="I15" s="29"/>
      <c r="J15" s="127" t="e">
        <f t="shared" ref="J15:J18" si="15">I15/$I$7</f>
        <v>#DIV/0!</v>
      </c>
      <c r="K15" s="29">
        <f t="shared" si="3"/>
        <v>-71666.67</v>
      </c>
      <c r="L15" s="127">
        <f t="shared" si="4"/>
        <v>0</v>
      </c>
      <c r="M15" s="127">
        <f t="shared" si="5"/>
        <v>0</v>
      </c>
    </row>
    <row r="16" s="103" customFormat="1" ht="18" customHeight="1" spans="1:18">
      <c r="A16" s="122"/>
      <c r="B16" s="123" t="s">
        <v>45</v>
      </c>
      <c r="C16" s="150" t="s">
        <v>46</v>
      </c>
      <c r="D16" s="125"/>
      <c r="E16" s="49">
        <v>10000</v>
      </c>
      <c r="F16" s="126">
        <f t="shared" si="13"/>
        <v>0.0222400142336091</v>
      </c>
      <c r="G16" s="49">
        <v>10000</v>
      </c>
      <c r="H16" s="127">
        <f t="shared" si="14"/>
        <v>0.0222400142336091</v>
      </c>
      <c r="I16" s="29"/>
      <c r="J16" s="127" t="e">
        <f t="shared" si="15"/>
        <v>#DIV/0!</v>
      </c>
      <c r="K16" s="29">
        <f t="shared" si="3"/>
        <v>-10000</v>
      </c>
      <c r="L16" s="127">
        <f t="shared" si="4"/>
        <v>0</v>
      </c>
      <c r="M16" s="127">
        <f t="shared" si="5"/>
        <v>0</v>
      </c>
    </row>
    <row r="17" s="103" customFormat="1" ht="18" customHeight="1" spans="1:18">
      <c r="A17" s="122"/>
      <c r="B17" s="123" t="s">
        <v>47</v>
      </c>
      <c r="C17" s="150" t="s">
        <v>48</v>
      </c>
      <c r="D17" s="125"/>
      <c r="E17" s="49">
        <v>36250</v>
      </c>
      <c r="F17" s="126">
        <f t="shared" si="13"/>
        <v>0.080620051596833</v>
      </c>
      <c r="G17" s="49">
        <v>36250</v>
      </c>
      <c r="H17" s="127">
        <f t="shared" si="14"/>
        <v>0.080620051596833</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500</v>
      </c>
      <c r="F18" s="126">
        <f t="shared" si="13"/>
        <v>0.00111200071168046</v>
      </c>
      <c r="G18" s="56">
        <v>500</v>
      </c>
      <c r="H18" s="127">
        <f t="shared" si="14"/>
        <v>0.00111200071168046</v>
      </c>
      <c r="I18" s="29"/>
      <c r="J18" s="127" t="e">
        <f t="shared" si="15"/>
        <v>#DIV/0!</v>
      </c>
      <c r="K18" s="29">
        <f t="shared" si="3"/>
        <v>-500</v>
      </c>
      <c r="L18" s="127">
        <f t="shared" si="4"/>
        <v>0</v>
      </c>
      <c r="M18" s="127">
        <f t="shared" si="5"/>
        <v>0</v>
      </c>
    </row>
    <row r="19" s="103" customFormat="1" ht="18" customHeight="1" spans="1:18">
      <c r="A19" s="145" t="s">
        <v>51</v>
      </c>
      <c r="B19" s="151" t="s">
        <v>52</v>
      </c>
      <c r="C19" s="152" t="s">
        <v>51</v>
      </c>
      <c r="D19" s="132" t="s">
        <v>53</v>
      </c>
      <c r="E19" s="133">
        <f t="shared" ref="E19:I19" si="16">SUM(E15:E18)</f>
        <v>118416.67</v>
      </c>
      <c r="F19" s="153"/>
      <c r="G19" s="133">
        <f t="shared" si="16"/>
        <v>118416.67</v>
      </c>
      <c r="H19" s="154"/>
      <c r="I19" s="133">
        <f t="shared" si="16"/>
        <v>0</v>
      </c>
      <c r="J19" s="154"/>
      <c r="K19" s="133">
        <f t="shared" si="3"/>
        <v>-118416.67</v>
      </c>
      <c r="L19" s="135">
        <f t="shared" si="4"/>
        <v>0</v>
      </c>
      <c r="M19" s="135">
        <f t="shared" si="5"/>
        <v>0</v>
      </c>
    </row>
    <row r="20" s="103" customFormat="1" ht="18" customHeight="1" spans="1:18">
      <c r="A20" s="155" t="s">
        <v>54</v>
      </c>
      <c r="B20" s="131" t="s">
        <v>55</v>
      </c>
      <c r="C20" s="131" t="s">
        <v>56</v>
      </c>
      <c r="D20" s="132" t="s">
        <v>57</v>
      </c>
      <c r="E20" s="133">
        <f t="shared" ref="E20:I20" si="17">E14-E19</f>
        <v>127170.640679612</v>
      </c>
      <c r="F20" s="156"/>
      <c r="G20" s="133">
        <f t="shared" si="17"/>
        <v>127170.640679612</v>
      </c>
      <c r="H20" s="154"/>
      <c r="I20" s="133">
        <f t="shared" si="17"/>
        <v>0</v>
      </c>
      <c r="J20" s="154"/>
      <c r="K20" s="133">
        <f t="shared" si="3"/>
        <v>-127170.640679612</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44.6526125981782</v>
      </c>
      <c r="F23" s="160"/>
      <c r="G23" s="133">
        <f t="shared" si="18"/>
        <v>44.6526125981782</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34587.6923076923</v>
      </c>
      <c r="F25" s="158"/>
      <c r="G25" s="29">
        <f t="shared" si="19"/>
        <v>34587.6923076923</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68000</v>
      </c>
      <c r="F27" s="158"/>
      <c r="G27" s="166">
        <v>68000</v>
      </c>
      <c r="H27" s="159"/>
      <c r="I27" s="166">
        <v>195522.15</v>
      </c>
      <c r="J27" s="159"/>
      <c r="K27" s="166">
        <f t="shared" ref="K27:K30" si="20">I27-G27</f>
        <v>127522.15</v>
      </c>
      <c r="L27" s="127">
        <f t="shared" ref="L27:L30" si="21">I27/G27</f>
        <v>2.87532573529412</v>
      </c>
      <c r="M27" s="127">
        <f t="shared" ref="M27:M30" si="22">I27/E27</f>
        <v>2.87532573529412</v>
      </c>
    </row>
    <row r="28" s="103" customFormat="1" ht="18" customHeight="1" spans="1:18">
      <c r="A28" s="136"/>
      <c r="B28" s="167" t="s">
        <v>81</v>
      </c>
      <c r="C28" s="165" t="s">
        <v>82</v>
      </c>
      <c r="D28" s="125" t="s">
        <v>83</v>
      </c>
      <c r="E28" s="158">
        <f t="shared" ref="E28:I28" si="23">E20-E27</f>
        <v>59170.6406796116</v>
      </c>
      <c r="F28" s="158"/>
      <c r="G28" s="158">
        <f t="shared" si="23"/>
        <v>59170.6406796116</v>
      </c>
      <c r="H28" s="159" t="s">
        <v>62</v>
      </c>
      <c r="I28" s="158">
        <f t="shared" si="23"/>
        <v>-195522.15</v>
      </c>
      <c r="J28" s="159" t="s">
        <v>62</v>
      </c>
      <c r="K28" s="166">
        <f t="shared" si="20"/>
        <v>-254692.790679612</v>
      </c>
      <c r="L28" s="127">
        <f t="shared" si="21"/>
        <v>-3.30437777509769</v>
      </c>
      <c r="M28" s="127">
        <f t="shared" si="22"/>
        <v>-3.30437777509769</v>
      </c>
    </row>
    <row r="29" s="103" customFormat="1" ht="18" customHeight="1" spans="1:18">
      <c r="A29" s="136"/>
      <c r="B29" s="167" t="s">
        <v>84</v>
      </c>
      <c r="C29" s="123" t="s">
        <v>85</v>
      </c>
      <c r="D29" s="125" t="s">
        <v>86</v>
      </c>
      <c r="E29" s="168">
        <f t="shared" ref="E29:I29" si="24">E28/E7*100%</f>
        <v>0.131595589092633</v>
      </c>
      <c r="F29" s="158"/>
      <c r="G29" s="168">
        <f t="shared" si="24"/>
        <v>0.131595589092633</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23.876404494382</v>
      </c>
      <c r="F30" s="158"/>
      <c r="G30" s="158">
        <f t="shared" si="25"/>
        <v>23.876404494382</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workbookViewId="0">
      <selection activeCell="E15" sqref="E15:E18"/>
    </sheetView>
  </sheetViews>
  <sheetFormatPr defaultColWidth="8.625" defaultRowHeight="14.25"/>
  <cols>
    <col min="1" max="1" width="12.25" style="105" customWidth="1"/>
    <col min="2" max="2" width="4.5" style="106" customWidth="1"/>
    <col min="3" max="3" width="13.875" style="107" customWidth="1"/>
    <col min="4" max="4" width="7.875" style="108" customWidth="1"/>
    <col min="5" max="5" width="17.875" style="109" customWidth="1"/>
    <col min="6" max="6" width="8.875" style="109" customWidth="1"/>
    <col min="7" max="7" width="17" style="104" customWidth="1"/>
    <col min="8" max="8" width="9" style="104" customWidth="1"/>
    <col min="9" max="9" width="13.75" style="104" customWidth="1"/>
    <col min="10" max="10" width="10.625" style="104" customWidth="1"/>
    <col min="11" max="11" width="16.75" style="104" customWidth="1"/>
    <col min="12" max="12" width="8.875" style="104" customWidth="1"/>
    <col min="13" max="13" width="8.25" style="104" customWidth="1"/>
    <col min="14" max="32" width="9" style="104"/>
    <col min="33" max="16384" width="8.625" style="104"/>
  </cols>
  <sheetData>
    <row r="1" s="103" customFormat="1" ht="25.15" customHeight="1" spans="1:18">
      <c r="A1" s="110" t="s">
        <v>100</v>
      </c>
      <c r="B1" s="110"/>
      <c r="C1" s="111"/>
      <c r="D1" s="110"/>
      <c r="E1" s="110"/>
      <c r="F1" s="110"/>
      <c r="G1" s="110"/>
      <c r="H1" s="110"/>
      <c r="I1" s="110"/>
      <c r="J1" s="110"/>
      <c r="K1" s="110"/>
      <c r="L1" s="110"/>
      <c r="M1" s="110"/>
    </row>
    <row r="2" s="103" customFormat="1" ht="33" customHeight="1" spans="1:18">
      <c r="A2" s="112" t="s">
        <v>1</v>
      </c>
      <c r="B2" s="113" t="s">
        <v>2</v>
      </c>
      <c r="C2" s="114" t="s">
        <v>3</v>
      </c>
      <c r="D2" s="115" t="s">
        <v>4</v>
      </c>
      <c r="E2" s="116" t="s">
        <v>5</v>
      </c>
      <c r="F2" s="117" t="s">
        <v>6</v>
      </c>
      <c r="G2" s="118" t="s">
        <v>7</v>
      </c>
      <c r="H2" s="117" t="s">
        <v>6</v>
      </c>
      <c r="I2" s="119" t="s">
        <v>8</v>
      </c>
      <c r="J2" s="117" t="s">
        <v>6</v>
      </c>
      <c r="K2" s="117" t="s">
        <v>9</v>
      </c>
      <c r="L2" s="120" t="s">
        <v>10</v>
      </c>
      <c r="M2" s="121" t="s">
        <v>11</v>
      </c>
    </row>
    <row r="3" s="103" customFormat="1" ht="18" customHeight="1" spans="1:18">
      <c r="A3" s="122" t="s">
        <v>12</v>
      </c>
      <c r="B3" s="123" t="s">
        <v>13</v>
      </c>
      <c r="C3" s="124" t="s">
        <v>14</v>
      </c>
      <c r="D3" s="125"/>
      <c r="E3" s="33">
        <v>550000</v>
      </c>
      <c r="F3" s="126">
        <f t="shared" ref="F3:F6" si="0">E3/$E$7</f>
        <v>0.866278154040006</v>
      </c>
      <c r="G3" s="33">
        <v>550000</v>
      </c>
      <c r="H3" s="127">
        <f t="shared" ref="H3:H6" si="1">G3/$G$7</f>
        <v>0.866278154040006</v>
      </c>
      <c r="I3" s="29"/>
      <c r="J3" s="127" t="e">
        <f t="shared" ref="J3:J6" si="2">I3/$I$7</f>
        <v>#DIV/0!</v>
      </c>
      <c r="K3" s="29">
        <f t="shared" ref="K3:K22" si="3">I3-G3</f>
        <v>-550000</v>
      </c>
      <c r="L3" s="127">
        <f t="shared" ref="L3:L25" si="4">I3/G3</f>
        <v>0</v>
      </c>
      <c r="M3" s="127">
        <f t="shared" ref="M3:M25" si="5">I3/E3</f>
        <v>0</v>
      </c>
    </row>
    <row r="4" s="103" customFormat="1" ht="18" customHeight="1" spans="1:18">
      <c r="A4" s="122"/>
      <c r="B4" s="123" t="s">
        <v>15</v>
      </c>
      <c r="C4" s="128" t="s">
        <v>16</v>
      </c>
      <c r="D4" s="125"/>
      <c r="E4" s="33">
        <v>42900</v>
      </c>
      <c r="F4" s="126">
        <f t="shared" si="0"/>
        <v>0.0675696960151205</v>
      </c>
      <c r="G4" s="33">
        <v>42900</v>
      </c>
      <c r="H4" s="127">
        <f t="shared" si="1"/>
        <v>0.0675696960151205</v>
      </c>
      <c r="I4" s="29"/>
      <c r="J4" s="127" t="e">
        <f t="shared" si="2"/>
        <v>#DIV/0!</v>
      </c>
      <c r="K4" s="29">
        <f t="shared" si="3"/>
        <v>-42900</v>
      </c>
      <c r="L4" s="127">
        <f t="shared" si="4"/>
        <v>0</v>
      </c>
      <c r="M4" s="127">
        <f t="shared" si="5"/>
        <v>0</v>
      </c>
      <c r="O4" s="103" t="s">
        <v>17</v>
      </c>
    </row>
    <row r="5" s="103" customFormat="1" ht="18" customHeight="1" spans="1:18">
      <c r="A5" s="122"/>
      <c r="B5" s="123" t="s">
        <v>18</v>
      </c>
      <c r="C5" s="128" t="s">
        <v>19</v>
      </c>
      <c r="D5" s="125"/>
      <c r="E5" s="33">
        <v>0</v>
      </c>
      <c r="F5" s="126">
        <f t="shared" si="0"/>
        <v>0</v>
      </c>
      <c r="G5" s="33">
        <v>0</v>
      </c>
      <c r="H5" s="127">
        <f t="shared" si="1"/>
        <v>0</v>
      </c>
      <c r="I5" s="29"/>
      <c r="J5" s="127" t="e">
        <f t="shared" si="2"/>
        <v>#DIV/0!</v>
      </c>
      <c r="K5" s="29">
        <f t="shared" si="3"/>
        <v>0</v>
      </c>
      <c r="L5" s="127" t="e">
        <f t="shared" si="4"/>
        <v>#DIV/0!</v>
      </c>
      <c r="M5" s="127" t="e">
        <f t="shared" si="5"/>
        <v>#DIV/0!</v>
      </c>
    </row>
    <row r="6" s="103" customFormat="1" ht="18" customHeight="1" spans="1:18">
      <c r="A6" s="129"/>
      <c r="B6" s="123" t="s">
        <v>20</v>
      </c>
      <c r="C6" s="128" t="s">
        <v>21</v>
      </c>
      <c r="D6" s="125"/>
      <c r="E6" s="33">
        <v>42000</v>
      </c>
      <c r="F6" s="126">
        <f t="shared" si="0"/>
        <v>0.0661521499448732</v>
      </c>
      <c r="G6" s="33">
        <v>42000</v>
      </c>
      <c r="H6" s="127">
        <f t="shared" si="1"/>
        <v>0.0661521499448732</v>
      </c>
      <c r="I6" s="29"/>
      <c r="J6" s="127" t="e">
        <f t="shared" si="2"/>
        <v>#DIV/0!</v>
      </c>
      <c r="K6" s="29">
        <f t="shared" si="3"/>
        <v>-42000</v>
      </c>
      <c r="L6" s="127">
        <f t="shared" si="4"/>
        <v>0</v>
      </c>
      <c r="M6" s="127">
        <f t="shared" si="5"/>
        <v>0</v>
      </c>
    </row>
    <row r="7" s="103" customFormat="1" ht="18" customHeight="1" spans="1:18">
      <c r="A7" s="130"/>
      <c r="B7" s="131" t="s">
        <v>22</v>
      </c>
      <c r="C7" s="131" t="s">
        <v>23</v>
      </c>
      <c r="D7" s="132" t="s">
        <v>24</v>
      </c>
      <c r="E7" s="133">
        <f t="shared" ref="E7:J7" si="6">SUM(E3:E6)</f>
        <v>634900</v>
      </c>
      <c r="F7" s="134">
        <f t="shared" si="6"/>
        <v>1</v>
      </c>
      <c r="G7" s="33">
        <f t="shared" si="6"/>
        <v>634900</v>
      </c>
      <c r="H7" s="135">
        <f t="shared" si="6"/>
        <v>1</v>
      </c>
      <c r="I7" s="33">
        <f t="shared" si="6"/>
        <v>0</v>
      </c>
      <c r="J7" s="135" t="e">
        <f t="shared" si="6"/>
        <v>#DIV/0!</v>
      </c>
      <c r="K7" s="133">
        <f t="shared" si="3"/>
        <v>-634900</v>
      </c>
      <c r="L7" s="135">
        <f t="shared" si="4"/>
        <v>0</v>
      </c>
      <c r="M7" s="135">
        <f t="shared" si="5"/>
        <v>0</v>
      </c>
    </row>
    <row r="8" s="103" customFormat="1" ht="18" customHeight="1" spans="1:18">
      <c r="A8" s="136" t="s">
        <v>25</v>
      </c>
      <c r="B8" s="137" t="s">
        <v>26</v>
      </c>
      <c r="C8" s="138" t="s">
        <v>27</v>
      </c>
      <c r="D8" s="139"/>
      <c r="E8" s="48">
        <v>219482.839805825</v>
      </c>
      <c r="F8" s="140">
        <f t="shared" ref="F8:F13" si="7">E8/$E$7</f>
        <v>0.345696707837179</v>
      </c>
      <c r="G8" s="48">
        <v>219482.839805825</v>
      </c>
      <c r="H8" s="141">
        <f t="shared" ref="H8:H12" si="8">G8/$G$7</f>
        <v>0.345696707837179</v>
      </c>
      <c r="I8" s="47"/>
      <c r="J8" s="127" t="e">
        <f t="shared" ref="J8:J12" si="9">I8/$I$7</f>
        <v>#DIV/0!</v>
      </c>
      <c r="K8" s="29">
        <f t="shared" si="3"/>
        <v>-219482.839805825</v>
      </c>
      <c r="L8" s="127">
        <f t="shared" si="4"/>
        <v>0</v>
      </c>
      <c r="M8" s="127">
        <f t="shared" si="5"/>
        <v>0</v>
      </c>
      <c r="Q8" s="103" t="s">
        <v>17</v>
      </c>
    </row>
    <row r="9" s="103" customFormat="1" ht="18" customHeight="1" spans="1:18">
      <c r="A9" s="136"/>
      <c r="B9" s="137" t="s">
        <v>28</v>
      </c>
      <c r="C9" s="138" t="s">
        <v>29</v>
      </c>
      <c r="D9" s="139"/>
      <c r="E9" s="48">
        <v>10725</v>
      </c>
      <c r="F9" s="140">
        <f t="shared" si="7"/>
        <v>0.0168924240037801</v>
      </c>
      <c r="G9" s="48">
        <v>10725</v>
      </c>
      <c r="H9" s="141">
        <f t="shared" si="8"/>
        <v>0.0168924240037801</v>
      </c>
      <c r="I9" s="47"/>
      <c r="J9" s="127" t="e">
        <f t="shared" si="9"/>
        <v>#DIV/0!</v>
      </c>
      <c r="K9" s="29">
        <f t="shared" si="3"/>
        <v>-10725</v>
      </c>
      <c r="L9" s="127">
        <f t="shared" si="4"/>
        <v>0</v>
      </c>
      <c r="M9" s="127">
        <f t="shared" si="5"/>
        <v>0</v>
      </c>
    </row>
    <row r="10" s="103" customFormat="1" ht="18" customHeight="1" spans="1:18">
      <c r="A10" s="136"/>
      <c r="B10" s="137" t="s">
        <v>30</v>
      </c>
      <c r="C10" s="138" t="s">
        <v>31</v>
      </c>
      <c r="D10" s="139"/>
      <c r="E10" s="49">
        <v>21000</v>
      </c>
      <c r="F10" s="140">
        <f t="shared" si="7"/>
        <v>0.0330760749724366</v>
      </c>
      <c r="G10" s="49">
        <v>21000</v>
      </c>
      <c r="H10" s="141">
        <f t="shared" si="8"/>
        <v>0.0330760749724366</v>
      </c>
      <c r="I10" s="47"/>
      <c r="J10" s="127" t="e">
        <f t="shared" si="9"/>
        <v>#DIV/0!</v>
      </c>
      <c r="K10" s="29">
        <f t="shared" si="3"/>
        <v>-21000</v>
      </c>
      <c r="L10" s="127">
        <f t="shared" si="4"/>
        <v>0</v>
      </c>
      <c r="M10" s="127">
        <f t="shared" si="5"/>
        <v>0</v>
      </c>
    </row>
    <row r="11" s="103" customFormat="1" ht="18" customHeight="1" spans="1:18">
      <c r="A11" s="136"/>
      <c r="B11" s="137" t="s">
        <v>32</v>
      </c>
      <c r="C11" s="138" t="s">
        <v>33</v>
      </c>
      <c r="D11" s="139"/>
      <c r="E11" s="48">
        <v>27500</v>
      </c>
      <c r="F11" s="140">
        <f t="shared" si="7"/>
        <v>0.0433139077020003</v>
      </c>
      <c r="G11" s="48">
        <v>27500</v>
      </c>
      <c r="H11" s="141">
        <f t="shared" si="8"/>
        <v>0.0433139077020003</v>
      </c>
      <c r="I11" s="47"/>
      <c r="J11" s="127" t="e">
        <f t="shared" si="9"/>
        <v>#DIV/0!</v>
      </c>
      <c r="K11" s="29">
        <f t="shared" si="3"/>
        <v>-27500</v>
      </c>
      <c r="L11" s="127">
        <f t="shared" si="4"/>
        <v>0</v>
      </c>
      <c r="M11" s="127">
        <f t="shared" si="5"/>
        <v>0</v>
      </c>
    </row>
    <row r="12" s="103" customFormat="1" ht="18" customHeight="1" spans="1:18">
      <c r="A12" s="136"/>
      <c r="B12" s="137" t="s">
        <v>34</v>
      </c>
      <c r="C12" s="138" t="s">
        <v>35</v>
      </c>
      <c r="D12" s="139"/>
      <c r="E12" s="28">
        <v>10000</v>
      </c>
      <c r="F12" s="140">
        <f t="shared" si="7"/>
        <v>0.0157505118916365</v>
      </c>
      <c r="G12" s="28">
        <v>10000</v>
      </c>
      <c r="H12" s="141">
        <f t="shared" si="8"/>
        <v>0.0157505118916365</v>
      </c>
      <c r="I12" s="47"/>
      <c r="J12" s="127" t="e">
        <f t="shared" si="9"/>
        <v>#DIV/0!</v>
      </c>
      <c r="K12" s="29">
        <f t="shared" si="3"/>
        <v>-10000</v>
      </c>
      <c r="L12" s="127">
        <f t="shared" si="4"/>
        <v>0</v>
      </c>
      <c r="M12" s="127">
        <f t="shared" si="5"/>
        <v>0</v>
      </c>
    </row>
    <row r="13" s="103" customFormat="1" ht="18" customHeight="1" spans="1:18">
      <c r="A13" s="136"/>
      <c r="B13" s="137" t="s">
        <v>36</v>
      </c>
      <c r="C13" s="142" t="s">
        <v>37</v>
      </c>
      <c r="D13" s="143" t="s">
        <v>38</v>
      </c>
      <c r="E13" s="144">
        <f t="shared" ref="E13:I13" si="10">SUM(E8:E12)</f>
        <v>288707.839805825</v>
      </c>
      <c r="F13" s="140">
        <f t="shared" si="7"/>
        <v>0.454729626407033</v>
      </c>
      <c r="G13" s="144">
        <f t="shared" si="10"/>
        <v>288707.839805825</v>
      </c>
      <c r="H13" s="141">
        <f t="shared" si="10"/>
        <v>0.454729626407033</v>
      </c>
      <c r="I13" s="47">
        <f t="shared" si="10"/>
        <v>0</v>
      </c>
      <c r="J13" s="127" t="e">
        <f>SUM(J8:J10)</f>
        <v>#DIV/0!</v>
      </c>
      <c r="K13" s="29">
        <f t="shared" si="3"/>
        <v>-288707.839805825</v>
      </c>
      <c r="L13" s="127">
        <f t="shared" si="4"/>
        <v>0</v>
      </c>
      <c r="M13" s="127">
        <f t="shared" si="5"/>
        <v>0</v>
      </c>
      <c r="Q13" s="103" t="s">
        <v>17</v>
      </c>
      <c r="R13" s="103" t="s">
        <v>17</v>
      </c>
    </row>
    <row r="14" s="103" customFormat="1" ht="18" customHeight="1" spans="1:18">
      <c r="A14" s="145" t="s">
        <v>39</v>
      </c>
      <c r="B14" s="131" t="s">
        <v>40</v>
      </c>
      <c r="C14" s="146"/>
      <c r="D14" s="147" t="s">
        <v>41</v>
      </c>
      <c r="E14" s="148">
        <f t="shared" ref="E14:I14" si="11">E7-E13</f>
        <v>346192.160194175</v>
      </c>
      <c r="F14" s="149">
        <f t="shared" ref="F14:J14" si="12">E14/E7</f>
        <v>0.545270373592967</v>
      </c>
      <c r="G14" s="148">
        <f t="shared" si="11"/>
        <v>346192.160194175</v>
      </c>
      <c r="H14" s="149">
        <f t="shared" si="12"/>
        <v>0.545270373592967</v>
      </c>
      <c r="I14" s="148">
        <f t="shared" si="11"/>
        <v>0</v>
      </c>
      <c r="J14" s="134" t="e">
        <f t="shared" si="12"/>
        <v>#DIV/0!</v>
      </c>
      <c r="K14" s="133">
        <f t="shared" si="3"/>
        <v>-346192.160194175</v>
      </c>
      <c r="L14" s="135">
        <f t="shared" si="4"/>
        <v>0</v>
      </c>
      <c r="M14" s="135">
        <f t="shared" si="5"/>
        <v>0</v>
      </c>
    </row>
    <row r="15" s="103" customFormat="1" ht="18" customHeight="1" spans="1:18">
      <c r="A15" s="122" t="s">
        <v>42</v>
      </c>
      <c r="B15" s="123" t="s">
        <v>43</v>
      </c>
      <c r="C15" s="150" t="s">
        <v>44</v>
      </c>
      <c r="D15" s="125"/>
      <c r="E15" s="28">
        <v>73666.63</v>
      </c>
      <c r="F15" s="126">
        <f t="shared" ref="F15:F18" si="13">E15/$E$7</f>
        <v>0.116028713183178</v>
      </c>
      <c r="G15" s="28">
        <v>73666.63</v>
      </c>
      <c r="H15" s="127">
        <f t="shared" ref="H15:H18" si="14">G15/$G$7</f>
        <v>0.116028713183178</v>
      </c>
      <c r="I15" s="29"/>
      <c r="J15" s="127" t="e">
        <f t="shared" ref="J15:J18" si="15">I15/$I$7</f>
        <v>#DIV/0!</v>
      </c>
      <c r="K15" s="29">
        <f t="shared" si="3"/>
        <v>-73666.63</v>
      </c>
      <c r="L15" s="127">
        <f t="shared" si="4"/>
        <v>0</v>
      </c>
      <c r="M15" s="127">
        <f t="shared" si="5"/>
        <v>0</v>
      </c>
    </row>
    <row r="16" s="103" customFormat="1" ht="18" customHeight="1" spans="1:18">
      <c r="A16" s="122"/>
      <c r="B16" s="123" t="s">
        <v>45</v>
      </c>
      <c r="C16" s="150" t="s">
        <v>46</v>
      </c>
      <c r="D16" s="125"/>
      <c r="E16" s="49">
        <v>12000</v>
      </c>
      <c r="F16" s="126">
        <f t="shared" si="13"/>
        <v>0.0189006142699638</v>
      </c>
      <c r="G16" s="49">
        <v>12000</v>
      </c>
      <c r="H16" s="127">
        <f t="shared" si="14"/>
        <v>0.0189006142699638</v>
      </c>
      <c r="I16" s="29"/>
      <c r="J16" s="127" t="e">
        <f t="shared" si="15"/>
        <v>#DIV/0!</v>
      </c>
      <c r="K16" s="29">
        <f t="shared" si="3"/>
        <v>-12000</v>
      </c>
      <c r="L16" s="127">
        <f t="shared" si="4"/>
        <v>0</v>
      </c>
      <c r="M16" s="127">
        <f t="shared" si="5"/>
        <v>0</v>
      </c>
    </row>
    <row r="17" s="103" customFormat="1" ht="18" customHeight="1" spans="1:18">
      <c r="A17" s="122"/>
      <c r="B17" s="123" t="s">
        <v>47</v>
      </c>
      <c r="C17" s="150" t="s">
        <v>48</v>
      </c>
      <c r="D17" s="125"/>
      <c r="E17" s="49">
        <v>36250</v>
      </c>
      <c r="F17" s="126">
        <f t="shared" si="13"/>
        <v>0.0570956056071822</v>
      </c>
      <c r="G17" s="49">
        <v>36250</v>
      </c>
      <c r="H17" s="127">
        <f t="shared" si="14"/>
        <v>0.0570956056071822</v>
      </c>
      <c r="I17" s="54"/>
      <c r="J17" s="127" t="e">
        <f t="shared" si="15"/>
        <v>#DIV/0!</v>
      </c>
      <c r="K17" s="29">
        <f t="shared" si="3"/>
        <v>-36250</v>
      </c>
      <c r="L17" s="127">
        <f t="shared" si="4"/>
        <v>0</v>
      </c>
      <c r="M17" s="127">
        <f t="shared" si="5"/>
        <v>0</v>
      </c>
      <c r="P17" s="103" t="s">
        <v>17</v>
      </c>
    </row>
    <row r="18" s="103" customFormat="1" ht="18" customHeight="1" spans="1:18">
      <c r="A18" s="122"/>
      <c r="B18" s="123" t="s">
        <v>49</v>
      </c>
      <c r="C18" s="150" t="s">
        <v>50</v>
      </c>
      <c r="D18" s="125"/>
      <c r="E18" s="56">
        <v>800</v>
      </c>
      <c r="F18" s="126">
        <f t="shared" si="13"/>
        <v>0.00126004095133092</v>
      </c>
      <c r="G18" s="56">
        <v>800</v>
      </c>
      <c r="H18" s="127">
        <f t="shared" si="14"/>
        <v>0.00126004095133092</v>
      </c>
      <c r="I18" s="29"/>
      <c r="J18" s="127" t="e">
        <f t="shared" si="15"/>
        <v>#DIV/0!</v>
      </c>
      <c r="K18" s="29">
        <f t="shared" si="3"/>
        <v>-800</v>
      </c>
      <c r="L18" s="127">
        <f t="shared" si="4"/>
        <v>0</v>
      </c>
      <c r="M18" s="127">
        <f t="shared" si="5"/>
        <v>0</v>
      </c>
    </row>
    <row r="19" s="103" customFormat="1" ht="18" customHeight="1" spans="1:18">
      <c r="A19" s="145" t="s">
        <v>51</v>
      </c>
      <c r="B19" s="151" t="s">
        <v>52</v>
      </c>
      <c r="C19" s="152" t="s">
        <v>51</v>
      </c>
      <c r="D19" s="132" t="s">
        <v>53</v>
      </c>
      <c r="E19" s="133">
        <f t="shared" ref="E19:I19" si="16">SUM(E15:E18)</f>
        <v>122716.63</v>
      </c>
      <c r="F19" s="153"/>
      <c r="G19" s="133">
        <f t="shared" si="16"/>
        <v>122716.63</v>
      </c>
      <c r="H19" s="154"/>
      <c r="I19" s="133">
        <f t="shared" si="16"/>
        <v>0</v>
      </c>
      <c r="J19" s="154"/>
      <c r="K19" s="133">
        <f t="shared" si="3"/>
        <v>-122716.63</v>
      </c>
      <c r="L19" s="135">
        <f t="shared" si="4"/>
        <v>0</v>
      </c>
      <c r="M19" s="135">
        <f t="shared" si="5"/>
        <v>0</v>
      </c>
    </row>
    <row r="20" s="103" customFormat="1" ht="18" customHeight="1" spans="1:18">
      <c r="A20" s="155" t="s">
        <v>54</v>
      </c>
      <c r="B20" s="131" t="s">
        <v>55</v>
      </c>
      <c r="C20" s="131" t="s">
        <v>56</v>
      </c>
      <c r="D20" s="132" t="s">
        <v>57</v>
      </c>
      <c r="E20" s="133">
        <f t="shared" ref="E20:I20" si="17">E14-E19</f>
        <v>223475.530194175</v>
      </c>
      <c r="F20" s="156"/>
      <c r="G20" s="133">
        <f t="shared" si="17"/>
        <v>223475.530194175</v>
      </c>
      <c r="H20" s="154"/>
      <c r="I20" s="133">
        <f t="shared" si="17"/>
        <v>0</v>
      </c>
      <c r="J20" s="154"/>
      <c r="K20" s="133">
        <f t="shared" si="3"/>
        <v>-223475.530194175</v>
      </c>
      <c r="L20" s="135">
        <f t="shared" si="4"/>
        <v>0</v>
      </c>
      <c r="M20" s="135">
        <f t="shared" si="5"/>
        <v>0</v>
      </c>
      <c r="R20" s="103" t="s">
        <v>17</v>
      </c>
    </row>
    <row r="21" s="103" customFormat="1" ht="18" hidden="1" customHeight="1" spans="1:18">
      <c r="A21" s="136" t="s">
        <v>58</v>
      </c>
      <c r="B21" s="123" t="s">
        <v>59</v>
      </c>
      <c r="C21" s="123" t="s">
        <v>60</v>
      </c>
      <c r="D21" s="157" t="s">
        <v>61</v>
      </c>
      <c r="E21" s="29">
        <v>2848</v>
      </c>
      <c r="F21" s="158"/>
      <c r="G21" s="29">
        <v>2848</v>
      </c>
      <c r="H21" s="159" t="s">
        <v>62</v>
      </c>
      <c r="I21" s="29"/>
      <c r="J21" s="159" t="s">
        <v>62</v>
      </c>
      <c r="K21" s="29">
        <f t="shared" si="3"/>
        <v>-2848</v>
      </c>
      <c r="L21" s="127">
        <f t="shared" si="4"/>
        <v>0</v>
      </c>
      <c r="M21" s="127">
        <f t="shared" si="5"/>
        <v>0</v>
      </c>
    </row>
    <row r="22" s="103" customFormat="1" ht="18" customHeight="1" spans="1:18">
      <c r="A22" s="136"/>
      <c r="B22" s="123" t="s">
        <v>63</v>
      </c>
      <c r="C22" s="123" t="s">
        <v>64</v>
      </c>
      <c r="D22" s="143" t="s">
        <v>65</v>
      </c>
      <c r="E22" s="29">
        <f>E21</f>
        <v>2848</v>
      </c>
      <c r="F22" s="158"/>
      <c r="G22" s="29">
        <v>2848</v>
      </c>
      <c r="H22" s="159"/>
      <c r="I22" s="29"/>
      <c r="J22" s="159"/>
      <c r="K22" s="29">
        <f t="shared" si="3"/>
        <v>-2848</v>
      </c>
      <c r="L22" s="127">
        <f t="shared" si="4"/>
        <v>0</v>
      </c>
      <c r="M22" s="127">
        <f t="shared" si="5"/>
        <v>0</v>
      </c>
    </row>
    <row r="23" s="103" customFormat="1" ht="18" customHeight="1" spans="1:18">
      <c r="A23" s="145" t="s">
        <v>66</v>
      </c>
      <c r="B23" s="131" t="s">
        <v>67</v>
      </c>
      <c r="C23" s="131" t="s">
        <v>68</v>
      </c>
      <c r="D23" s="132" t="s">
        <v>69</v>
      </c>
      <c r="E23" s="133">
        <f t="shared" ref="E23:I23" si="18">E20/E22</f>
        <v>78.4675316693029</v>
      </c>
      <c r="F23" s="160"/>
      <c r="G23" s="133">
        <f t="shared" si="18"/>
        <v>78.4675316693029</v>
      </c>
      <c r="H23" s="154"/>
      <c r="I23" s="133" t="e">
        <f t="shared" si="18"/>
        <v>#DIV/0!</v>
      </c>
      <c r="J23" s="154"/>
      <c r="K23" s="133"/>
      <c r="L23" s="135" t="e">
        <f t="shared" si="4"/>
        <v>#DIV/0!</v>
      </c>
      <c r="M23" s="135" t="e">
        <f t="shared" si="5"/>
        <v>#DIV/0!</v>
      </c>
    </row>
    <row r="24" s="103" customFormat="1" ht="18" customHeight="1" spans="1:18">
      <c r="A24" s="136" t="s">
        <v>70</v>
      </c>
      <c r="B24" s="161" t="s">
        <v>71</v>
      </c>
      <c r="C24" s="123" t="s">
        <v>72</v>
      </c>
      <c r="D24" s="125"/>
      <c r="E24" s="29">
        <v>13</v>
      </c>
      <c r="F24" s="158"/>
      <c r="G24" s="29">
        <v>13</v>
      </c>
      <c r="H24" s="159" t="s">
        <v>62</v>
      </c>
      <c r="I24" s="29">
        <v>13</v>
      </c>
      <c r="J24" s="159" t="s">
        <v>62</v>
      </c>
      <c r="K24" s="29">
        <v>0</v>
      </c>
      <c r="L24" s="127">
        <f t="shared" si="4"/>
        <v>1</v>
      </c>
      <c r="M24" s="127">
        <f t="shared" si="5"/>
        <v>1</v>
      </c>
    </row>
    <row r="25" s="103" customFormat="1" ht="13.5" spans="1:18">
      <c r="A25" s="136"/>
      <c r="B25" s="123" t="s">
        <v>73</v>
      </c>
      <c r="C25" s="162" t="s">
        <v>74</v>
      </c>
      <c r="D25" s="163" t="s">
        <v>75</v>
      </c>
      <c r="E25" s="29">
        <f t="shared" ref="E25:I25" si="19">E7/E24</f>
        <v>48838.4615384615</v>
      </c>
      <c r="F25" s="158"/>
      <c r="G25" s="29">
        <f t="shared" si="19"/>
        <v>48838.4615384615</v>
      </c>
      <c r="H25" s="159"/>
      <c r="I25" s="29">
        <f t="shared" si="19"/>
        <v>0</v>
      </c>
      <c r="J25" s="159"/>
      <c r="K25" s="29"/>
      <c r="L25" s="127">
        <f t="shared" si="4"/>
        <v>0</v>
      </c>
      <c r="M25" s="127">
        <f t="shared" si="5"/>
        <v>0</v>
      </c>
    </row>
    <row r="26" s="103" customFormat="1" ht="37.9" hidden="1" customHeight="1" spans="1:18">
      <c r="A26" s="136" t="s">
        <v>76</v>
      </c>
      <c r="B26" s="136"/>
      <c r="C26" s="164"/>
      <c r="D26" s="136"/>
      <c r="E26" s="136"/>
      <c r="F26" s="136"/>
      <c r="G26" s="136"/>
      <c r="H26" s="136"/>
      <c r="I26" s="136"/>
      <c r="J26" s="136"/>
      <c r="K26" s="136"/>
      <c r="L26" s="136"/>
      <c r="M26" s="136"/>
    </row>
    <row r="27" s="103" customFormat="1" ht="18" customHeight="1" spans="1:18">
      <c r="A27" s="136" t="s">
        <v>77</v>
      </c>
      <c r="B27" s="123" t="s">
        <v>78</v>
      </c>
      <c r="C27" s="165" t="s">
        <v>79</v>
      </c>
      <c r="D27" s="125" t="s">
        <v>80</v>
      </c>
      <c r="E27" s="158">
        <v>72000</v>
      </c>
      <c r="F27" s="158"/>
      <c r="G27" s="166">
        <v>72000</v>
      </c>
      <c r="H27" s="159"/>
      <c r="I27" s="166"/>
      <c r="J27" s="159"/>
      <c r="K27" s="166">
        <f t="shared" ref="K27:K30" si="20">I27-G27</f>
        <v>-72000</v>
      </c>
      <c r="L27" s="127">
        <f t="shared" ref="L27:L30" si="21">I27/G27</f>
        <v>0</v>
      </c>
      <c r="M27" s="127">
        <f t="shared" ref="M27:M30" si="22">I27/E27</f>
        <v>0</v>
      </c>
    </row>
    <row r="28" s="103" customFormat="1" ht="18" customHeight="1" spans="1:18">
      <c r="A28" s="136"/>
      <c r="B28" s="167" t="s">
        <v>81</v>
      </c>
      <c r="C28" s="165" t="s">
        <v>82</v>
      </c>
      <c r="D28" s="125" t="s">
        <v>83</v>
      </c>
      <c r="E28" s="158">
        <f t="shared" ref="E28:I28" si="23">E20-E27</f>
        <v>151475.530194175</v>
      </c>
      <c r="F28" s="158"/>
      <c r="G28" s="158">
        <f t="shared" si="23"/>
        <v>151475.530194175</v>
      </c>
      <c r="H28" s="159" t="s">
        <v>62</v>
      </c>
      <c r="I28" s="158">
        <f t="shared" si="23"/>
        <v>0</v>
      </c>
      <c r="J28" s="159" t="s">
        <v>62</v>
      </c>
      <c r="K28" s="166">
        <f t="shared" si="20"/>
        <v>-151475.530194175</v>
      </c>
      <c r="L28" s="127">
        <f t="shared" si="21"/>
        <v>0</v>
      </c>
      <c r="M28" s="127">
        <f t="shared" si="22"/>
        <v>0</v>
      </c>
    </row>
    <row r="29" s="103" customFormat="1" ht="18" customHeight="1" spans="1:18">
      <c r="A29" s="136"/>
      <c r="B29" s="167" t="s">
        <v>84</v>
      </c>
      <c r="C29" s="123" t="s">
        <v>85</v>
      </c>
      <c r="D29" s="125" t="s">
        <v>86</v>
      </c>
      <c r="E29" s="168">
        <f t="shared" ref="E29:I29" si="24">E28/E7*100%</f>
        <v>0.238581713961529</v>
      </c>
      <c r="F29" s="158"/>
      <c r="G29" s="168">
        <f t="shared" si="24"/>
        <v>0.238581713961529</v>
      </c>
      <c r="H29" s="159" t="s">
        <v>62</v>
      </c>
      <c r="I29" s="168" t="e">
        <f t="shared" si="24"/>
        <v>#DIV/0!</v>
      </c>
      <c r="J29" s="159" t="s">
        <v>62</v>
      </c>
      <c r="K29" s="166" t="e">
        <f t="shared" si="20"/>
        <v>#DIV/0!</v>
      </c>
      <c r="L29" s="127" t="e">
        <f t="shared" si="21"/>
        <v>#DIV/0!</v>
      </c>
      <c r="M29" s="127" t="e">
        <f t="shared" si="22"/>
        <v>#DIV/0!</v>
      </c>
    </row>
    <row r="30" s="104" customFormat="1" ht="13.5" spans="1:18">
      <c r="A30" s="136"/>
      <c r="B30" s="167" t="s">
        <v>87</v>
      </c>
      <c r="C30" s="123" t="s">
        <v>88</v>
      </c>
      <c r="D30" s="125" t="s">
        <v>89</v>
      </c>
      <c r="E30" s="169">
        <f t="shared" ref="E30:I30" si="25">E27/E22</f>
        <v>25.2808988764045</v>
      </c>
      <c r="F30" s="158"/>
      <c r="G30" s="158">
        <f t="shared" si="25"/>
        <v>25.2808988764045</v>
      </c>
      <c r="H30" s="159" t="s">
        <v>62</v>
      </c>
      <c r="I30" s="158" t="e">
        <f t="shared" si="25"/>
        <v>#DIV/0!</v>
      </c>
      <c r="J30" s="159" t="s">
        <v>62</v>
      </c>
      <c r="K30" s="166" t="e">
        <f t="shared" si="20"/>
        <v>#DIV/0!</v>
      </c>
      <c r="L30" s="127" t="e">
        <f t="shared" si="21"/>
        <v>#DIV/0!</v>
      </c>
      <c r="M30" s="127" t="e">
        <f t="shared" si="22"/>
        <v>#DIV/0!</v>
      </c>
    </row>
    <row r="31" s="104" customFormat="1" ht="15" spans="1:18">
      <c r="A31" s="170"/>
      <c r="C31" s="171"/>
      <c r="E31" s="172"/>
      <c r="F31" s="172"/>
      <c r="G31" s="173"/>
      <c r="H31" s="173"/>
      <c r="I31" s="173"/>
      <c r="J31" s="173"/>
      <c r="K31" s="173"/>
      <c r="L31" s="173"/>
      <c r="M31" s="173"/>
    </row>
    <row r="32" s="104" customFormat="1" ht="18.6" customHeight="1" spans="1:18">
      <c r="A32" s="170"/>
      <c r="C32" s="171"/>
      <c r="E32" s="172"/>
      <c r="F32" s="172"/>
      <c r="G32" s="173"/>
      <c r="H32" s="173"/>
      <c r="I32" s="173"/>
      <c r="J32" s="173"/>
      <c r="K32" s="173"/>
      <c r="L32" s="173"/>
      <c r="M32" s="173"/>
    </row>
    <row r="33" s="104" customFormat="1" ht="15" customHeight="1" spans="1:13">
      <c r="A33" s="170"/>
      <c r="C33" s="171"/>
      <c r="E33" s="172"/>
      <c r="F33" s="172"/>
      <c r="G33" s="173"/>
      <c r="H33" s="173"/>
      <c r="I33" s="173"/>
      <c r="J33" s="173"/>
      <c r="K33" s="173"/>
      <c r="L33" s="173"/>
      <c r="M33" s="173"/>
    </row>
    <row r="34" s="104" customFormat="1" spans="1:13">
      <c r="A34" s="105"/>
      <c r="B34" s="106"/>
      <c r="C34" s="107"/>
      <c r="D34" s="108"/>
      <c r="E34" s="109"/>
      <c r="F34" s="109"/>
      <c r="K34" s="104" t="s">
        <v>17</v>
      </c>
    </row>
  </sheetData>
  <mergeCells count="8">
    <mergeCell ref="A1:M1"/>
    <mergeCell ref="A26:M26"/>
    <mergeCell ref="A3:A6"/>
    <mergeCell ref="A8:A13"/>
    <mergeCell ref="A15:A18"/>
    <mergeCell ref="A21:A22"/>
    <mergeCell ref="A24:A25"/>
    <mergeCell ref="A27:A30"/>
  </mergeCells>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40"/>
  <sheetViews>
    <sheetView topLeftCell="Z1" workbookViewId="0">
      <selection activeCell="CG1" sqref="CG$1:CM$1048576"/>
    </sheetView>
  </sheetViews>
  <sheetFormatPr defaultColWidth="8.625" defaultRowHeight="13.5"/>
  <cols>
    <col min="1" max="2" width="8.625" style="1"/>
    <col min="3" max="3" width="12.375" style="1" customWidth="1"/>
    <col min="4" max="4" width="10.75" style="1"/>
    <col min="5" max="5" width="16.625" style="1" customWidth="1"/>
    <col min="6" max="6" width="18.375" style="2" customWidth="1"/>
    <col min="7" max="7" width="12" style="1" customWidth="1"/>
    <col min="8" max="8" width="15.75" style="1" customWidth="1"/>
    <col min="9" max="9" width="16.625" style="1" customWidth="1"/>
    <col min="10" max="10" width="16.5" style="1" customWidth="1"/>
    <col min="11" max="11" width="9.625" style="1" customWidth="1"/>
    <col min="12" max="12" width="17.5" style="1" customWidth="1"/>
    <col min="13" max="13" width="10.125" style="1" customWidth="1"/>
    <col min="14" max="14" width="13.125" style="1" customWidth="1"/>
    <col min="15" max="15" width="16.125" style="1" customWidth="1"/>
    <col min="16" max="17" width="16.875" style="1" customWidth="1"/>
    <col min="18" max="18" width="9.625" style="1" customWidth="1"/>
    <col min="19" max="19" width="18.25" style="1" customWidth="1"/>
    <col min="20" max="20" width="10.875" style="1" customWidth="1"/>
    <col min="21" max="21" width="9.625" style="1" customWidth="1"/>
    <col min="22" max="22" width="16.125" style="1" customWidth="1"/>
    <col min="23" max="23" width="16.25" style="1" customWidth="1"/>
    <col min="24" max="24" width="13.875" style="1" customWidth="1"/>
    <col min="25" max="25" width="9.625" style="1" customWidth="1"/>
    <col min="26" max="26" width="16.25" style="1" customWidth="1"/>
    <col min="27" max="27" width="10.875" style="1" customWidth="1"/>
    <col min="28" max="28" width="11.625" style="1" customWidth="1"/>
    <col min="29" max="30" width="15.125" style="1" customWidth="1"/>
    <col min="31" max="31" width="15.75" style="1" customWidth="1"/>
    <col min="32" max="32" width="9.625" style="1" customWidth="1"/>
    <col min="33" max="33" width="16.125" style="1" customWidth="1"/>
    <col min="34" max="34" width="10.875" style="1" customWidth="1"/>
    <col min="35" max="35" width="9.625" style="1" customWidth="1"/>
    <col min="36" max="36" width="15.625" style="1" customWidth="1"/>
    <col min="37" max="37" width="14.625" style="1" customWidth="1"/>
    <col min="38" max="38" width="13.875" style="1" customWidth="1"/>
    <col min="39" max="39" width="9.625" style="1" customWidth="1"/>
    <col min="40" max="40" width="15.75" style="1" customWidth="1"/>
    <col min="41" max="41" width="10.875" style="1" customWidth="1"/>
    <col min="42" max="42" width="10.375" style="1" customWidth="1"/>
    <col min="43" max="43" width="16.375" style="1" customWidth="1"/>
    <col min="44" max="44" width="17.125" style="1" customWidth="1"/>
    <col min="45" max="45" width="15.375" style="1" customWidth="1"/>
    <col min="46" max="46" width="9.625" style="1" customWidth="1"/>
    <col min="47" max="47" width="17" style="1" customWidth="1"/>
    <col min="48" max="48" width="10.875" style="1" customWidth="1"/>
    <col min="49" max="49" width="9.625" style="1" customWidth="1"/>
    <col min="50" max="50" width="16.125" style="1" customWidth="1"/>
    <col min="51" max="51" width="17.125" style="1" customWidth="1"/>
    <col min="52" max="52" width="18" style="1" customWidth="1"/>
    <col min="53" max="53" width="9.625" style="1" customWidth="1"/>
    <col min="54" max="54" width="16.375" style="1" customWidth="1"/>
    <col min="55" max="55" width="14.75" style="1" customWidth="1"/>
    <col min="56" max="56" width="16.625" style="1" customWidth="1"/>
    <col min="57" max="57" width="16" style="1" customWidth="1"/>
    <col min="58" max="58" width="17.75" style="1" customWidth="1"/>
    <col min="59" max="59" width="17.875" style="1" customWidth="1"/>
    <col min="60" max="60" width="13.625" style="1" customWidth="1"/>
    <col min="61" max="61" width="18.125" style="3" customWidth="1"/>
    <col min="62" max="62" width="15" style="3" customWidth="1"/>
    <col min="63" max="63" width="9.625" style="3" customWidth="1"/>
    <col min="64" max="64" width="17.125" style="3" customWidth="1"/>
    <col min="65" max="65" width="14.875" style="3" customWidth="1"/>
    <col min="66" max="67" width="16.625" style="1" customWidth="1"/>
    <col min="68" max="68" width="18.375" style="1" customWidth="1"/>
    <col min="69" max="69" width="13.75" style="1" customWidth="1"/>
    <col min="70" max="70" width="9.625" style="1" customWidth="1"/>
    <col min="71" max="71" width="16.25" style="1" customWidth="1"/>
    <col min="72" max="72" width="14" style="1" customWidth="1"/>
    <col min="73" max="73" width="16.625" style="1" customWidth="1"/>
    <col min="74" max="74" width="15.375" style="1" customWidth="1"/>
    <col min="75" max="75" width="16.625" style="1" customWidth="1"/>
    <col min="76" max="76" width="15" style="1" customWidth="1"/>
    <col min="77" max="77" width="9.625" style="1" customWidth="1"/>
    <col min="78" max="78" width="14" style="1" customWidth="1"/>
    <col min="79" max="79" width="13.875" style="1" customWidth="1"/>
    <col min="80" max="80" width="15.25" style="1" customWidth="1"/>
    <col min="81" max="81" width="15.5" style="1" customWidth="1"/>
    <col min="82" max="82" width="15.375" style="1" customWidth="1"/>
    <col min="83" max="83" width="14.875" style="1" customWidth="1"/>
    <col min="84" max="84" width="11.875" style="1" customWidth="1"/>
    <col min="85" max="85" width="18.375" style="1" customWidth="1"/>
    <col min="86" max="86" width="14.25" style="1" customWidth="1"/>
    <col min="87" max="87" width="16.625" style="1" customWidth="1"/>
    <col min="88" max="88" width="15.375" style="1" customWidth="1"/>
    <col min="89" max="89" width="16.875" style="1" customWidth="1"/>
    <col min="90" max="90" width="15.25" style="1" customWidth="1"/>
    <col min="91" max="91" width="9.625" style="1" customWidth="1"/>
    <col min="92" max="16384" width="8.625" style="1"/>
  </cols>
  <sheetData>
    <row r="1" s="1" customFormat="1" ht="20.25" spans="1:91">
      <c r="A1" s="4" t="s">
        <v>101</v>
      </c>
      <c r="B1" s="5"/>
      <c r="C1" s="5"/>
      <c r="D1" s="5"/>
      <c r="E1" s="5"/>
      <c r="F1" s="5"/>
      <c r="G1" s="5"/>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7"/>
      <c r="BJ1" s="7"/>
      <c r="BK1" s="7"/>
      <c r="BL1" s="7"/>
      <c r="BM1" s="7"/>
      <c r="BN1" s="6"/>
      <c r="BO1" s="6"/>
      <c r="BP1" s="6"/>
      <c r="BQ1" s="6"/>
      <c r="BR1" s="6"/>
      <c r="BS1" s="6"/>
      <c r="BT1" s="6"/>
      <c r="BU1" s="6"/>
      <c r="BV1" s="6"/>
      <c r="BW1" s="6"/>
      <c r="BX1" s="6"/>
      <c r="BY1" s="6"/>
      <c r="BZ1" s="6"/>
      <c r="CA1" s="6"/>
      <c r="CB1" s="6"/>
      <c r="CC1" s="6"/>
      <c r="CD1" s="6"/>
      <c r="CE1" s="6"/>
      <c r="CF1" s="6"/>
      <c r="CG1" s="6"/>
      <c r="CH1" s="6"/>
      <c r="CI1" s="6"/>
      <c r="CJ1" s="6"/>
      <c r="CK1" s="6"/>
      <c r="CL1" s="6"/>
      <c r="CM1" s="8"/>
    </row>
    <row r="2" s="1" customFormat="1" ht="25.5" spans="1:91">
      <c r="A2" s="9"/>
      <c r="B2" s="10" t="s">
        <v>2</v>
      </c>
      <c r="C2" s="10" t="s">
        <v>3</v>
      </c>
      <c r="D2" s="11"/>
      <c r="E2" s="12"/>
      <c r="F2" s="12"/>
      <c r="G2" s="13"/>
      <c r="H2" s="14" t="s">
        <v>102</v>
      </c>
      <c r="I2" s="14"/>
      <c r="J2" s="14"/>
      <c r="K2" s="14"/>
      <c r="L2" s="14"/>
      <c r="M2" s="14"/>
      <c r="N2" s="14"/>
      <c r="O2" s="14" t="s">
        <v>103</v>
      </c>
      <c r="P2" s="14"/>
      <c r="Q2" s="14"/>
      <c r="R2" s="14"/>
      <c r="S2" s="14"/>
      <c r="T2" s="14"/>
      <c r="U2" s="14"/>
      <c r="V2" s="14" t="s">
        <v>104</v>
      </c>
      <c r="W2" s="14"/>
      <c r="X2" s="14"/>
      <c r="Y2" s="14"/>
      <c r="Z2" s="14"/>
      <c r="AA2" s="14"/>
      <c r="AB2" s="14"/>
      <c r="AC2" s="14" t="s">
        <v>105</v>
      </c>
      <c r="AD2" s="14"/>
      <c r="AE2" s="14"/>
      <c r="AF2" s="14"/>
      <c r="AG2" s="14"/>
      <c r="AH2" s="14"/>
      <c r="AI2" s="14"/>
      <c r="AJ2" s="14" t="s">
        <v>106</v>
      </c>
      <c r="AK2" s="14"/>
      <c r="AL2" s="14"/>
      <c r="AM2" s="14"/>
      <c r="AN2" s="14"/>
      <c r="AO2" s="14"/>
      <c r="AP2" s="14"/>
      <c r="AQ2" s="14" t="s">
        <v>107</v>
      </c>
      <c r="AR2" s="14"/>
      <c r="AS2" s="14"/>
      <c r="AT2" s="14"/>
      <c r="AU2" s="14"/>
      <c r="AV2" s="14"/>
      <c r="AW2" s="14"/>
      <c r="AX2" s="14" t="s">
        <v>108</v>
      </c>
      <c r="AY2" s="14"/>
      <c r="AZ2" s="14"/>
      <c r="BA2" s="14"/>
      <c r="BB2" s="14"/>
      <c r="BC2" s="14"/>
      <c r="BD2" s="14"/>
      <c r="BE2" s="14" t="s">
        <v>109</v>
      </c>
      <c r="BF2" s="14"/>
      <c r="BG2" s="14"/>
      <c r="BH2" s="14"/>
      <c r="BI2" s="15"/>
      <c r="BJ2" s="15"/>
      <c r="BK2" s="15"/>
      <c r="BL2" s="15" t="s">
        <v>110</v>
      </c>
      <c r="BM2" s="15"/>
      <c r="BN2" s="14"/>
      <c r="BO2" s="14"/>
      <c r="BP2" s="14"/>
      <c r="BQ2" s="14"/>
      <c r="BR2" s="14"/>
      <c r="BS2" s="14" t="s">
        <v>111</v>
      </c>
      <c r="BT2" s="14"/>
      <c r="BU2" s="14"/>
      <c r="BV2" s="14"/>
      <c r="BW2" s="14"/>
      <c r="BX2" s="14"/>
      <c r="BY2" s="14"/>
      <c r="BZ2" s="14" t="s">
        <v>112</v>
      </c>
      <c r="CA2" s="14"/>
      <c r="CB2" s="14"/>
      <c r="CC2" s="14"/>
      <c r="CD2" s="14"/>
      <c r="CE2" s="14"/>
      <c r="CF2" s="14"/>
      <c r="CG2" s="14" t="s">
        <v>113</v>
      </c>
      <c r="CH2" s="14"/>
      <c r="CI2" s="14"/>
      <c r="CJ2" s="14"/>
      <c r="CK2" s="14"/>
      <c r="CL2" s="14"/>
      <c r="CM2" s="14"/>
    </row>
    <row r="3" s="1" customFormat="1" ht="40.5" spans="1:91">
      <c r="A3" s="16"/>
      <c r="B3" s="17"/>
      <c r="C3" s="17"/>
      <c r="D3" s="18" t="s">
        <v>4</v>
      </c>
      <c r="E3" s="19" t="s">
        <v>114</v>
      </c>
      <c r="F3" s="20" t="s">
        <v>115</v>
      </c>
      <c r="G3" s="21" t="s">
        <v>116</v>
      </c>
      <c r="H3" s="22" t="s">
        <v>117</v>
      </c>
      <c r="I3" s="22" t="s">
        <v>7</v>
      </c>
      <c r="J3" s="19" t="s">
        <v>8</v>
      </c>
      <c r="K3" s="21" t="s">
        <v>6</v>
      </c>
      <c r="L3" s="21" t="s">
        <v>118</v>
      </c>
      <c r="M3" s="21" t="s">
        <v>119</v>
      </c>
      <c r="N3" s="19" t="s">
        <v>120</v>
      </c>
      <c r="O3" s="22" t="s">
        <v>117</v>
      </c>
      <c r="P3" s="22" t="s">
        <v>7</v>
      </c>
      <c r="Q3" s="19" t="s">
        <v>8</v>
      </c>
      <c r="R3" s="21" t="s">
        <v>6</v>
      </c>
      <c r="S3" s="21" t="s">
        <v>118</v>
      </c>
      <c r="T3" s="21" t="s">
        <v>119</v>
      </c>
      <c r="U3" s="19" t="s">
        <v>120</v>
      </c>
      <c r="V3" s="22" t="s">
        <v>117</v>
      </c>
      <c r="W3" s="22" t="s">
        <v>7</v>
      </c>
      <c r="X3" s="19" t="s">
        <v>8</v>
      </c>
      <c r="Y3" s="21" t="s">
        <v>6</v>
      </c>
      <c r="Z3" s="21" t="s">
        <v>118</v>
      </c>
      <c r="AA3" s="21" t="s">
        <v>119</v>
      </c>
      <c r="AB3" s="19" t="s">
        <v>120</v>
      </c>
      <c r="AC3" s="22" t="s">
        <v>117</v>
      </c>
      <c r="AD3" s="22" t="s">
        <v>7</v>
      </c>
      <c r="AE3" s="19" t="s">
        <v>8</v>
      </c>
      <c r="AF3" s="21" t="s">
        <v>6</v>
      </c>
      <c r="AG3" s="21" t="s">
        <v>118</v>
      </c>
      <c r="AH3" s="21" t="s">
        <v>119</v>
      </c>
      <c r="AI3" s="19" t="s">
        <v>120</v>
      </c>
      <c r="AJ3" s="22" t="s">
        <v>117</v>
      </c>
      <c r="AK3" s="22" t="s">
        <v>7</v>
      </c>
      <c r="AL3" s="19" t="s">
        <v>8</v>
      </c>
      <c r="AM3" s="21" t="s">
        <v>6</v>
      </c>
      <c r="AN3" s="21" t="s">
        <v>118</v>
      </c>
      <c r="AO3" s="21" t="s">
        <v>119</v>
      </c>
      <c r="AP3" s="19" t="s">
        <v>120</v>
      </c>
      <c r="AQ3" s="22" t="s">
        <v>117</v>
      </c>
      <c r="AR3" s="22" t="s">
        <v>7</v>
      </c>
      <c r="AS3" s="19" t="s">
        <v>8</v>
      </c>
      <c r="AT3" s="21" t="s">
        <v>6</v>
      </c>
      <c r="AU3" s="21" t="s">
        <v>118</v>
      </c>
      <c r="AV3" s="21" t="s">
        <v>119</v>
      </c>
      <c r="AW3" s="19" t="s">
        <v>120</v>
      </c>
      <c r="AX3" s="22" t="s">
        <v>117</v>
      </c>
      <c r="AY3" s="22" t="s">
        <v>7</v>
      </c>
      <c r="AZ3" s="19" t="s">
        <v>8</v>
      </c>
      <c r="BA3" s="21" t="s">
        <v>6</v>
      </c>
      <c r="BB3" s="21" t="s">
        <v>118</v>
      </c>
      <c r="BC3" s="21" t="s">
        <v>119</v>
      </c>
      <c r="BD3" s="19" t="s">
        <v>120</v>
      </c>
      <c r="BE3" s="22" t="s">
        <v>117</v>
      </c>
      <c r="BF3" s="22" t="s">
        <v>7</v>
      </c>
      <c r="BG3" s="19" t="s">
        <v>8</v>
      </c>
      <c r="BH3" s="21" t="s">
        <v>6</v>
      </c>
      <c r="BI3" s="23" t="s">
        <v>118</v>
      </c>
      <c r="BJ3" s="23" t="s">
        <v>119</v>
      </c>
      <c r="BK3" s="24" t="s">
        <v>120</v>
      </c>
      <c r="BL3" s="24" t="s">
        <v>117</v>
      </c>
      <c r="BM3" s="24" t="s">
        <v>7</v>
      </c>
      <c r="BN3" s="19" t="s">
        <v>8</v>
      </c>
      <c r="BO3" s="21" t="s">
        <v>6</v>
      </c>
      <c r="BP3" s="21" t="s">
        <v>118</v>
      </c>
      <c r="BQ3" s="21" t="s">
        <v>119</v>
      </c>
      <c r="BR3" s="19" t="s">
        <v>120</v>
      </c>
      <c r="BS3" s="22" t="s">
        <v>117</v>
      </c>
      <c r="BT3" s="22" t="s">
        <v>7</v>
      </c>
      <c r="BU3" s="19" t="s">
        <v>8</v>
      </c>
      <c r="BV3" s="21" t="s">
        <v>6</v>
      </c>
      <c r="BW3" s="21" t="s">
        <v>118</v>
      </c>
      <c r="BX3" s="21" t="s">
        <v>119</v>
      </c>
      <c r="BY3" s="19" t="s">
        <v>120</v>
      </c>
      <c r="BZ3" s="24" t="s">
        <v>117</v>
      </c>
      <c r="CA3" s="24" t="s">
        <v>7</v>
      </c>
      <c r="CB3" s="19" t="s">
        <v>8</v>
      </c>
      <c r="CC3" s="21" t="s">
        <v>6</v>
      </c>
      <c r="CD3" s="21" t="s">
        <v>118</v>
      </c>
      <c r="CE3" s="21" t="s">
        <v>119</v>
      </c>
      <c r="CF3" s="19" t="s">
        <v>120</v>
      </c>
      <c r="CG3" s="22" t="s">
        <v>117</v>
      </c>
      <c r="CH3" s="22" t="s">
        <v>7</v>
      </c>
      <c r="CI3" s="19" t="s">
        <v>8</v>
      </c>
      <c r="CJ3" s="21" t="s">
        <v>6</v>
      </c>
      <c r="CK3" s="21" t="s">
        <v>118</v>
      </c>
      <c r="CL3" s="21" t="s">
        <v>119</v>
      </c>
      <c r="CM3" s="19" t="s">
        <v>120</v>
      </c>
    </row>
    <row r="4" s="1" customFormat="1" spans="1:91">
      <c r="A4" s="19" t="s">
        <v>121</v>
      </c>
      <c r="B4" s="25" t="s">
        <v>13</v>
      </c>
      <c r="C4" s="26" t="s">
        <v>14</v>
      </c>
      <c r="D4" s="27" t="s">
        <v>122</v>
      </c>
      <c r="E4" s="28">
        <v>7950000</v>
      </c>
      <c r="F4" s="29">
        <f>J4+Q4+X4+AE4+AL4+AS4+AZ4+BG4+BN4+BU4+CB4+CI4</f>
        <v>2325273.6</v>
      </c>
      <c r="G4" s="23">
        <f t="shared" ref="G4:G19" si="0">F4/E4</f>
        <v>0.292487245283019</v>
      </c>
      <c r="H4" s="30">
        <v>480000</v>
      </c>
      <c r="I4" s="28">
        <v>480000</v>
      </c>
      <c r="J4" s="28">
        <v>375775</v>
      </c>
      <c r="K4" s="23">
        <f t="shared" ref="K4:K19" si="1">J4/$J$8</f>
        <v>0.835882689339413</v>
      </c>
      <c r="L4" s="28">
        <f t="shared" ref="L4:L26" si="2">J4-I4</f>
        <v>-104225</v>
      </c>
      <c r="M4" s="23">
        <f t="shared" ref="M4:M26" si="3">J4/I4</f>
        <v>0.782864583333333</v>
      </c>
      <c r="N4" s="23">
        <f t="shared" ref="N4:N26" si="4">J4/H4</f>
        <v>0.782864583333333</v>
      </c>
      <c r="O4" s="30">
        <v>1680000</v>
      </c>
      <c r="P4" s="28">
        <v>1680000</v>
      </c>
      <c r="Q4" s="28">
        <v>1454734</v>
      </c>
      <c r="R4" s="31">
        <f>Q4/Q8</f>
        <v>0.893451235349718</v>
      </c>
      <c r="S4" s="28">
        <f t="shared" ref="S4:S24" si="5">Q4-P4</f>
        <v>-225266</v>
      </c>
      <c r="T4" s="23">
        <f t="shared" ref="T4:T26" si="6">Q4/P4</f>
        <v>0.865913095238095</v>
      </c>
      <c r="U4" s="23">
        <f t="shared" ref="U4:U26" si="7">Q4/O4</f>
        <v>0.865913095238095</v>
      </c>
      <c r="V4" s="30">
        <v>450000</v>
      </c>
      <c r="W4" s="28">
        <v>450000</v>
      </c>
      <c r="X4" s="28">
        <v>494764.6</v>
      </c>
      <c r="Y4" s="31">
        <f>X4/X8</f>
        <v>0.859357909150025</v>
      </c>
      <c r="Z4" s="28">
        <f t="shared" ref="Z4:Z26" si="8">X4-W4</f>
        <v>44764.6</v>
      </c>
      <c r="AA4" s="23">
        <f t="shared" ref="AA4:AA26" si="9">X4/W4</f>
        <v>1.09947688888889</v>
      </c>
      <c r="AB4" s="23">
        <f t="shared" ref="AB4:AB26" si="10">X4/V4</f>
        <v>1.09947688888889</v>
      </c>
      <c r="AC4" s="30">
        <v>300000</v>
      </c>
      <c r="AD4" s="28">
        <v>300000</v>
      </c>
      <c r="AE4" s="28"/>
      <c r="AF4" s="31" t="e">
        <f>AE4/AE8</f>
        <v>#DIV/0!</v>
      </c>
      <c r="AG4" s="28">
        <f t="shared" ref="AG4:AG26" si="11">AE4-AD4</f>
        <v>-300000</v>
      </c>
      <c r="AH4" s="23">
        <f t="shared" ref="AH4:AH26" si="12">AE4/AD4</f>
        <v>0</v>
      </c>
      <c r="AI4" s="23">
        <f t="shared" ref="AI4:AI26" si="13">AE4/AC4</f>
        <v>0</v>
      </c>
      <c r="AJ4" s="28">
        <v>450000</v>
      </c>
      <c r="AK4" s="28">
        <v>450000</v>
      </c>
      <c r="AL4" s="28"/>
      <c r="AM4" s="31" t="e">
        <f>AL4/AL8</f>
        <v>#DIV/0!</v>
      </c>
      <c r="AN4" s="28">
        <f t="shared" ref="AN4:AN26" si="14">AL4-AK4</f>
        <v>-450000</v>
      </c>
      <c r="AO4" s="23">
        <f t="shared" ref="AO4:AO26" si="15">AL4/AK4</f>
        <v>0</v>
      </c>
      <c r="AP4" s="23">
        <f t="shared" ref="AP4:AP26" si="16">AL4/AJ4</f>
        <v>0</v>
      </c>
      <c r="AQ4" s="28">
        <v>380000</v>
      </c>
      <c r="AR4" s="28">
        <v>380000</v>
      </c>
      <c r="AS4" s="28"/>
      <c r="AT4" s="31" t="e">
        <f>AS4/AS8</f>
        <v>#DIV/0!</v>
      </c>
      <c r="AU4" s="28">
        <f t="shared" ref="AU4:AU26" si="17">AS4-AR4</f>
        <v>-380000</v>
      </c>
      <c r="AV4" s="23">
        <f t="shared" ref="AV4:AV26" si="18">AS4/AR4</f>
        <v>0</v>
      </c>
      <c r="AW4" s="23">
        <f t="shared" ref="AW4:AW26" si="19">AS4/AQ4</f>
        <v>0</v>
      </c>
      <c r="AX4" s="30">
        <v>1230000</v>
      </c>
      <c r="AY4" s="28">
        <v>1230000</v>
      </c>
      <c r="AZ4" s="28"/>
      <c r="BA4" s="31" t="e">
        <f>AZ4/AZ8</f>
        <v>#DIV/0!</v>
      </c>
      <c r="BB4" s="28">
        <f t="shared" ref="BB4:BB26" si="20">AZ4-AY4</f>
        <v>-1230000</v>
      </c>
      <c r="BC4" s="31">
        <f t="shared" ref="BC4:BC26" si="21">AZ4/AY4</f>
        <v>0</v>
      </c>
      <c r="BD4" s="31">
        <f t="shared" ref="BD4:BD26" si="22">AZ4/AX4</f>
        <v>0</v>
      </c>
      <c r="BE4" s="32">
        <v>1230000</v>
      </c>
      <c r="BF4" s="33">
        <v>1230000</v>
      </c>
      <c r="BG4" s="33"/>
      <c r="BH4" s="31" t="e">
        <f>BG4/BG8</f>
        <v>#DIV/0!</v>
      </c>
      <c r="BI4" s="28">
        <f t="shared" ref="BI4:BI26" si="23">BG4-BF4</f>
        <v>-1230000</v>
      </c>
      <c r="BJ4" s="23">
        <f t="shared" ref="BJ4:BJ26" si="24">BG4/BF4</f>
        <v>0</v>
      </c>
      <c r="BK4" s="23">
        <f t="shared" ref="BK4:BK26" si="25">BG4/BE4</f>
        <v>0</v>
      </c>
      <c r="BL4" s="30">
        <v>300000</v>
      </c>
      <c r="BM4" s="28">
        <v>300000</v>
      </c>
      <c r="BN4" s="29"/>
      <c r="BO4" s="31" t="e">
        <f>BN4/BN8</f>
        <v>#DIV/0!</v>
      </c>
      <c r="BP4" s="33">
        <f t="shared" ref="BP4:BP26" si="26">BN4-BM4</f>
        <v>-300000</v>
      </c>
      <c r="BQ4" s="31">
        <f t="shared" ref="BQ4:BQ26" si="27">BN4/BM4</f>
        <v>0</v>
      </c>
      <c r="BR4" s="31">
        <f t="shared" ref="BR4:BR26" si="28">BN4/BL4</f>
        <v>0</v>
      </c>
      <c r="BS4" s="28">
        <v>520000</v>
      </c>
      <c r="BT4" s="28">
        <v>520000</v>
      </c>
      <c r="BU4" s="33"/>
      <c r="BV4" s="31" t="e">
        <f>BU4/BU8</f>
        <v>#DIV/0!</v>
      </c>
      <c r="BW4" s="33">
        <f t="shared" ref="BW4:BW26" si="29">BU4-BT4</f>
        <v>-520000</v>
      </c>
      <c r="BX4" s="31">
        <f t="shared" ref="BX4:BX26" si="30">BU4/BT4</f>
        <v>0</v>
      </c>
      <c r="BY4" s="31">
        <f t="shared" ref="BY4:BY26" si="31">BU4/BS4</f>
        <v>0</v>
      </c>
      <c r="BZ4" s="28">
        <v>380000</v>
      </c>
      <c r="CA4" s="28">
        <v>380000</v>
      </c>
      <c r="CB4" s="33"/>
      <c r="CC4" s="31">
        <f t="shared" ref="CC4:CC26" si="32">CB4/$J$8</f>
        <v>0</v>
      </c>
      <c r="CD4" s="33">
        <f t="shared" ref="CD4:CD26" si="33">CB4-CA4</f>
        <v>-380000</v>
      </c>
      <c r="CE4" s="31">
        <f t="shared" ref="CE4:CE26" si="34">CB4/CA4</f>
        <v>0</v>
      </c>
      <c r="CF4" s="31">
        <f t="shared" ref="CF4:CF26" si="35">CB4/BZ4</f>
        <v>0</v>
      </c>
      <c r="CG4" s="33">
        <v>550000</v>
      </c>
      <c r="CH4" s="33">
        <v>550000</v>
      </c>
      <c r="CI4" s="33"/>
      <c r="CJ4" s="31">
        <f t="shared" ref="CJ4:CJ19" si="36">CI4/$J$8</f>
        <v>0</v>
      </c>
      <c r="CK4" s="33">
        <f t="shared" ref="CK4:CK26" si="37">CI4-CH4</f>
        <v>-550000</v>
      </c>
      <c r="CL4" s="31">
        <f t="shared" ref="CL4:CL26" si="38">CI4/CH4</f>
        <v>0</v>
      </c>
      <c r="CM4" s="31">
        <f t="shared" ref="CM4:CM26" si="39">CI4/CG4</f>
        <v>0</v>
      </c>
    </row>
    <row r="5" s="1" customFormat="1" spans="1:91">
      <c r="A5" s="19"/>
      <c r="B5" s="25" t="s">
        <v>15</v>
      </c>
      <c r="C5" s="34" t="s">
        <v>16</v>
      </c>
      <c r="D5" s="27" t="s">
        <v>122</v>
      </c>
      <c r="E5" s="28">
        <v>607680</v>
      </c>
      <c r="F5" s="29">
        <f t="shared" ref="F5:F10" si="40">J5+Q5+X5+AE5+AL5+AS5+AZ5+BG5+BN5+BU5+CB5+CI5</f>
        <v>177125</v>
      </c>
      <c r="G5" s="23">
        <f t="shared" si="0"/>
        <v>0.291477422327541</v>
      </c>
      <c r="H5" s="28">
        <v>37440</v>
      </c>
      <c r="I5" s="28">
        <v>37440</v>
      </c>
      <c r="J5" s="28">
        <v>35144</v>
      </c>
      <c r="K5" s="23">
        <f t="shared" si="1"/>
        <v>0.0781751346793809</v>
      </c>
      <c r="L5" s="28">
        <f t="shared" si="2"/>
        <v>-2296</v>
      </c>
      <c r="M5" s="23">
        <f t="shared" si="3"/>
        <v>0.938675213675214</v>
      </c>
      <c r="N5" s="23">
        <f t="shared" si="4"/>
        <v>0.938675213675214</v>
      </c>
      <c r="O5" s="28">
        <v>126000</v>
      </c>
      <c r="P5" s="28">
        <v>126000</v>
      </c>
      <c r="Q5" s="28">
        <v>102879.7</v>
      </c>
      <c r="R5" s="31">
        <f>Q5/Q8</f>
        <v>0.0631854311904502</v>
      </c>
      <c r="S5" s="28">
        <f t="shared" si="5"/>
        <v>-23120.3</v>
      </c>
      <c r="T5" s="23">
        <f t="shared" si="6"/>
        <v>0.816505555555555</v>
      </c>
      <c r="U5" s="23">
        <f t="shared" si="7"/>
        <v>0.816505555555555</v>
      </c>
      <c r="V5" s="28">
        <v>35100</v>
      </c>
      <c r="W5" s="28">
        <v>35100</v>
      </c>
      <c r="X5" s="28">
        <v>39101.3</v>
      </c>
      <c r="Y5" s="31">
        <f>X5/X8</f>
        <v>0.0679151487657926</v>
      </c>
      <c r="Z5" s="28">
        <f t="shared" si="8"/>
        <v>4001.3</v>
      </c>
      <c r="AA5" s="23">
        <f t="shared" si="9"/>
        <v>1.11399715099715</v>
      </c>
      <c r="AB5" s="23">
        <f t="shared" si="10"/>
        <v>1.11399715099715</v>
      </c>
      <c r="AC5" s="28">
        <v>23400</v>
      </c>
      <c r="AD5" s="28">
        <v>23400</v>
      </c>
      <c r="AE5" s="28"/>
      <c r="AF5" s="31" t="e">
        <f>AE5/AE8</f>
        <v>#DIV/0!</v>
      </c>
      <c r="AG5" s="28">
        <f t="shared" si="11"/>
        <v>-23400</v>
      </c>
      <c r="AH5" s="23">
        <f t="shared" si="12"/>
        <v>0</v>
      </c>
      <c r="AI5" s="23">
        <f t="shared" si="13"/>
        <v>0</v>
      </c>
      <c r="AJ5" s="28">
        <v>35100</v>
      </c>
      <c r="AK5" s="28">
        <v>35100</v>
      </c>
      <c r="AL5" s="28"/>
      <c r="AM5" s="31" t="e">
        <f>AL5/AL8</f>
        <v>#DIV/0!</v>
      </c>
      <c r="AN5" s="28">
        <f t="shared" si="14"/>
        <v>-35100</v>
      </c>
      <c r="AO5" s="23">
        <f t="shared" si="15"/>
        <v>0</v>
      </c>
      <c r="AP5" s="23">
        <f t="shared" si="16"/>
        <v>0</v>
      </c>
      <c r="AQ5" s="28">
        <v>29640</v>
      </c>
      <c r="AR5" s="28">
        <v>29640</v>
      </c>
      <c r="AS5" s="28"/>
      <c r="AT5" s="31" t="e">
        <f>AS5/AS8</f>
        <v>#DIV/0!</v>
      </c>
      <c r="AU5" s="28">
        <f t="shared" si="17"/>
        <v>-29640</v>
      </c>
      <c r="AV5" s="23">
        <f t="shared" si="18"/>
        <v>0</v>
      </c>
      <c r="AW5" s="23">
        <f t="shared" si="19"/>
        <v>0</v>
      </c>
      <c r="AX5" s="28">
        <v>92250</v>
      </c>
      <c r="AY5" s="28">
        <v>92250</v>
      </c>
      <c r="AZ5" s="28"/>
      <c r="BA5" s="31" t="e">
        <f>AZ5/AZ8</f>
        <v>#DIV/0!</v>
      </c>
      <c r="BB5" s="28">
        <f t="shared" si="20"/>
        <v>-92250</v>
      </c>
      <c r="BC5" s="31">
        <f t="shared" si="21"/>
        <v>0</v>
      </c>
      <c r="BD5" s="31">
        <f t="shared" si="22"/>
        <v>0</v>
      </c>
      <c r="BE5" s="33">
        <v>92250</v>
      </c>
      <c r="BF5" s="33">
        <v>92250</v>
      </c>
      <c r="BG5" s="33"/>
      <c r="BH5" s="31" t="e">
        <f>BG5/BG8</f>
        <v>#DIV/0!</v>
      </c>
      <c r="BI5" s="28">
        <f t="shared" si="23"/>
        <v>-92250</v>
      </c>
      <c r="BJ5" s="23">
        <f t="shared" si="24"/>
        <v>0</v>
      </c>
      <c r="BK5" s="23">
        <f t="shared" si="25"/>
        <v>0</v>
      </c>
      <c r="BL5" s="28">
        <v>23400</v>
      </c>
      <c r="BM5" s="28">
        <v>23400</v>
      </c>
      <c r="BN5" s="29"/>
      <c r="BO5" s="31" t="e">
        <f>BN5/BN8</f>
        <v>#DIV/0!</v>
      </c>
      <c r="BP5" s="33">
        <f t="shared" si="26"/>
        <v>-23400</v>
      </c>
      <c r="BQ5" s="31"/>
      <c r="BR5" s="31"/>
      <c r="BS5" s="28">
        <v>40560</v>
      </c>
      <c r="BT5" s="28">
        <v>40560</v>
      </c>
      <c r="BU5" s="33"/>
      <c r="BV5" s="31" t="e">
        <f>BU5/BU8</f>
        <v>#DIV/0!</v>
      </c>
      <c r="BW5" s="33">
        <f t="shared" si="29"/>
        <v>-40560</v>
      </c>
      <c r="BX5" s="31"/>
      <c r="BY5" s="31"/>
      <c r="BZ5" s="28">
        <v>29640</v>
      </c>
      <c r="CA5" s="28">
        <v>29640</v>
      </c>
      <c r="CB5" s="33"/>
      <c r="CC5" s="31">
        <f t="shared" si="32"/>
        <v>0</v>
      </c>
      <c r="CD5" s="33">
        <f t="shared" si="33"/>
        <v>-29640</v>
      </c>
      <c r="CE5" s="31"/>
      <c r="CF5" s="31"/>
      <c r="CG5" s="33">
        <v>42900</v>
      </c>
      <c r="CH5" s="33">
        <v>42900</v>
      </c>
      <c r="CI5" s="33"/>
      <c r="CJ5" s="31">
        <f t="shared" si="36"/>
        <v>0</v>
      </c>
      <c r="CK5" s="33">
        <f t="shared" si="37"/>
        <v>-42900</v>
      </c>
      <c r="CL5" s="31"/>
      <c r="CM5" s="31"/>
    </row>
    <row r="6" s="1" customFormat="1" spans="1:91">
      <c r="A6" s="19"/>
      <c r="B6" s="25" t="s">
        <v>18</v>
      </c>
      <c r="C6" s="34" t="s">
        <v>19</v>
      </c>
      <c r="D6" s="27" t="s">
        <v>122</v>
      </c>
      <c r="E6" s="28">
        <v>45000</v>
      </c>
      <c r="F6" s="29">
        <f t="shared" si="40"/>
        <v>19000</v>
      </c>
      <c r="G6" s="23">
        <f t="shared" si="0"/>
        <v>0.422222222222222</v>
      </c>
      <c r="H6" s="28">
        <v>5000</v>
      </c>
      <c r="I6" s="28">
        <v>5000</v>
      </c>
      <c r="J6" s="28">
        <v>0</v>
      </c>
      <c r="K6" s="23">
        <f t="shared" si="1"/>
        <v>0</v>
      </c>
      <c r="L6" s="28">
        <f t="shared" si="2"/>
        <v>-5000</v>
      </c>
      <c r="M6" s="23">
        <f t="shared" si="3"/>
        <v>0</v>
      </c>
      <c r="N6" s="23">
        <f t="shared" si="4"/>
        <v>0</v>
      </c>
      <c r="O6" s="28">
        <v>20000</v>
      </c>
      <c r="P6" s="28">
        <v>20000</v>
      </c>
      <c r="Q6" s="28">
        <v>16000</v>
      </c>
      <c r="R6" s="31">
        <f>Q6/Q8</f>
        <v>0.00982668980418103</v>
      </c>
      <c r="S6" s="28">
        <f t="shared" si="5"/>
        <v>-4000</v>
      </c>
      <c r="T6" s="23">
        <f t="shared" si="6"/>
        <v>0.8</v>
      </c>
      <c r="U6" s="23">
        <f t="shared" si="7"/>
        <v>0.8</v>
      </c>
      <c r="V6" s="28">
        <v>0</v>
      </c>
      <c r="W6" s="28">
        <v>0</v>
      </c>
      <c r="X6" s="28">
        <v>3000</v>
      </c>
      <c r="Y6" s="31">
        <f>X6/X10</f>
        <v>0.0151828946674536</v>
      </c>
      <c r="Z6" s="28">
        <f t="shared" si="8"/>
        <v>3000</v>
      </c>
      <c r="AA6" s="35" t="e">
        <f t="shared" si="9"/>
        <v>#DIV/0!</v>
      </c>
      <c r="AB6" s="35" t="e">
        <f t="shared" si="10"/>
        <v>#DIV/0!</v>
      </c>
      <c r="AC6" s="28">
        <v>0</v>
      </c>
      <c r="AD6" s="28">
        <v>0</v>
      </c>
      <c r="AE6" s="28"/>
      <c r="AF6" s="31" t="e">
        <f>AE6/AE10</f>
        <v>#DIV/0!</v>
      </c>
      <c r="AG6" s="28">
        <f t="shared" si="11"/>
        <v>0</v>
      </c>
      <c r="AH6" s="23" t="e">
        <f t="shared" si="12"/>
        <v>#DIV/0!</v>
      </c>
      <c r="AI6" s="23" t="e">
        <f t="shared" si="13"/>
        <v>#DIV/0!</v>
      </c>
      <c r="AJ6" s="28">
        <v>10000</v>
      </c>
      <c r="AK6" s="28">
        <v>10000</v>
      </c>
      <c r="AL6" s="28"/>
      <c r="AM6" s="31" t="e">
        <f>AL6/AL10</f>
        <v>#DIV/0!</v>
      </c>
      <c r="AN6" s="28">
        <f t="shared" si="14"/>
        <v>-10000</v>
      </c>
      <c r="AO6" s="23">
        <f t="shared" si="15"/>
        <v>0</v>
      </c>
      <c r="AP6" s="23">
        <f t="shared" si="16"/>
        <v>0</v>
      </c>
      <c r="AQ6" s="28">
        <v>5000</v>
      </c>
      <c r="AR6" s="28">
        <v>5000</v>
      </c>
      <c r="AS6" s="28"/>
      <c r="AT6" s="31" t="e">
        <f>AS6/AS10</f>
        <v>#DIV/0!</v>
      </c>
      <c r="AU6" s="28">
        <f t="shared" si="17"/>
        <v>-5000</v>
      </c>
      <c r="AV6" s="23">
        <f t="shared" si="18"/>
        <v>0</v>
      </c>
      <c r="AW6" s="23">
        <f t="shared" si="19"/>
        <v>0</v>
      </c>
      <c r="AX6" s="28">
        <v>5000</v>
      </c>
      <c r="AY6" s="28">
        <v>5000</v>
      </c>
      <c r="AZ6" s="28"/>
      <c r="BA6" s="31" t="e">
        <f>AZ6/AZ10</f>
        <v>#DIV/0!</v>
      </c>
      <c r="BB6" s="28">
        <f t="shared" si="20"/>
        <v>-5000</v>
      </c>
      <c r="BC6" s="31">
        <f t="shared" si="21"/>
        <v>0</v>
      </c>
      <c r="BD6" s="31">
        <f t="shared" si="22"/>
        <v>0</v>
      </c>
      <c r="BE6" s="33">
        <v>0</v>
      </c>
      <c r="BF6" s="33">
        <v>0</v>
      </c>
      <c r="BG6" s="33"/>
      <c r="BH6" s="31" t="e">
        <f>BG6/BG10</f>
        <v>#DIV/0!</v>
      </c>
      <c r="BI6" s="28">
        <f t="shared" si="23"/>
        <v>0</v>
      </c>
      <c r="BJ6" s="23" t="e">
        <f t="shared" si="24"/>
        <v>#DIV/0!</v>
      </c>
      <c r="BK6" s="36" t="e">
        <f t="shared" si="25"/>
        <v>#DIV/0!</v>
      </c>
      <c r="BL6" s="28">
        <v>0</v>
      </c>
      <c r="BM6" s="28">
        <v>0</v>
      </c>
      <c r="BN6" s="29"/>
      <c r="BO6" s="31" t="e">
        <f>BN6/BN10</f>
        <v>#DIV/0!</v>
      </c>
      <c r="BP6" s="33">
        <f t="shared" si="26"/>
        <v>0</v>
      </c>
      <c r="BQ6" s="37" t="e">
        <f t="shared" si="27"/>
        <v>#DIV/0!</v>
      </c>
      <c r="BR6" s="37" t="e">
        <f t="shared" si="28"/>
        <v>#DIV/0!</v>
      </c>
      <c r="BS6" s="28">
        <v>0</v>
      </c>
      <c r="BT6" s="28">
        <v>0</v>
      </c>
      <c r="BU6" s="33"/>
      <c r="BV6" s="31" t="e">
        <f>BU6/BU10</f>
        <v>#DIV/0!</v>
      </c>
      <c r="BW6" s="33">
        <f t="shared" si="29"/>
        <v>0</v>
      </c>
      <c r="BX6" s="37" t="e">
        <f t="shared" si="30"/>
        <v>#DIV/0!</v>
      </c>
      <c r="BY6" s="37" t="e">
        <f t="shared" si="31"/>
        <v>#DIV/0!</v>
      </c>
      <c r="BZ6" s="28">
        <v>0</v>
      </c>
      <c r="CA6" s="28">
        <v>0</v>
      </c>
      <c r="CB6" s="33"/>
      <c r="CC6" s="31">
        <f t="shared" si="32"/>
        <v>0</v>
      </c>
      <c r="CD6" s="33">
        <f t="shared" si="33"/>
        <v>0</v>
      </c>
      <c r="CE6" s="37" t="e">
        <f t="shared" si="34"/>
        <v>#DIV/0!</v>
      </c>
      <c r="CF6" s="37" t="e">
        <f t="shared" si="35"/>
        <v>#DIV/0!</v>
      </c>
      <c r="CG6" s="33">
        <v>0</v>
      </c>
      <c r="CH6" s="33">
        <v>0</v>
      </c>
      <c r="CI6" s="33"/>
      <c r="CJ6" s="31">
        <f t="shared" si="36"/>
        <v>0</v>
      </c>
      <c r="CK6" s="33">
        <f t="shared" si="37"/>
        <v>0</v>
      </c>
      <c r="CL6" s="37" t="e">
        <f t="shared" si="38"/>
        <v>#DIV/0!</v>
      </c>
      <c r="CM6" s="37" t="e">
        <f t="shared" si="39"/>
        <v>#DIV/0!</v>
      </c>
    </row>
    <row r="7" s="1" customFormat="1" spans="1:91">
      <c r="A7" s="19"/>
      <c r="B7" s="25" t="s">
        <v>20</v>
      </c>
      <c r="C7" s="34" t="s">
        <v>21</v>
      </c>
      <c r="D7" s="27" t="s">
        <v>122</v>
      </c>
      <c r="E7" s="28">
        <v>500000</v>
      </c>
      <c r="F7" s="29">
        <f t="shared" si="40"/>
        <v>132112.33</v>
      </c>
      <c r="G7" s="23">
        <f t="shared" si="0"/>
        <v>0.26422466</v>
      </c>
      <c r="H7" s="28">
        <v>44000</v>
      </c>
      <c r="I7" s="28">
        <v>44000</v>
      </c>
      <c r="J7" s="28">
        <v>38635.71</v>
      </c>
      <c r="K7" s="23">
        <f t="shared" si="1"/>
        <v>0.0859421759812059</v>
      </c>
      <c r="L7" s="28">
        <f t="shared" si="2"/>
        <v>-5364.29</v>
      </c>
      <c r="M7" s="23">
        <f t="shared" si="3"/>
        <v>0.878084318181818</v>
      </c>
      <c r="N7" s="23">
        <f t="shared" si="4"/>
        <v>0.878084318181818</v>
      </c>
      <c r="O7" s="28">
        <v>42000</v>
      </c>
      <c r="P7" s="28">
        <v>42000</v>
      </c>
      <c r="Q7" s="28">
        <v>54604.99</v>
      </c>
      <c r="R7" s="31">
        <f>Q7/Q8</f>
        <v>0.0335366436556505</v>
      </c>
      <c r="S7" s="28">
        <f t="shared" si="5"/>
        <v>12604.99</v>
      </c>
      <c r="T7" s="23">
        <f t="shared" si="6"/>
        <v>1.30011880952381</v>
      </c>
      <c r="U7" s="23">
        <f t="shared" si="7"/>
        <v>1.30011880952381</v>
      </c>
      <c r="V7" s="28">
        <v>42000</v>
      </c>
      <c r="W7" s="28">
        <v>42000</v>
      </c>
      <c r="X7" s="28">
        <v>38871.63</v>
      </c>
      <c r="Y7" s="31">
        <f>X7/X8</f>
        <v>0.0675162343507466</v>
      </c>
      <c r="Z7" s="28">
        <f t="shared" si="8"/>
        <v>-3128.37</v>
      </c>
      <c r="AA7" s="35">
        <f t="shared" si="9"/>
        <v>0.925515</v>
      </c>
      <c r="AB7" s="35">
        <f t="shared" si="10"/>
        <v>0.925515</v>
      </c>
      <c r="AC7" s="28">
        <v>42000</v>
      </c>
      <c r="AD7" s="28">
        <v>42000</v>
      </c>
      <c r="AE7" s="28"/>
      <c r="AF7" s="31" t="e">
        <f>AE7/AE8</f>
        <v>#DIV/0!</v>
      </c>
      <c r="AG7" s="28">
        <f t="shared" si="11"/>
        <v>-42000</v>
      </c>
      <c r="AH7" s="23">
        <f t="shared" si="12"/>
        <v>0</v>
      </c>
      <c r="AI7" s="23">
        <f t="shared" si="13"/>
        <v>0</v>
      </c>
      <c r="AJ7" s="28">
        <v>42000</v>
      </c>
      <c r="AK7" s="28">
        <v>42000</v>
      </c>
      <c r="AL7" s="28"/>
      <c r="AM7" s="31" t="e">
        <f>AL7/AL8</f>
        <v>#DIV/0!</v>
      </c>
      <c r="AN7" s="28">
        <f t="shared" si="14"/>
        <v>-42000</v>
      </c>
      <c r="AO7" s="23">
        <f t="shared" si="15"/>
        <v>0</v>
      </c>
      <c r="AP7" s="23">
        <f t="shared" si="16"/>
        <v>0</v>
      </c>
      <c r="AQ7" s="28">
        <v>42000</v>
      </c>
      <c r="AR7" s="28">
        <v>42000</v>
      </c>
      <c r="AS7" s="28"/>
      <c r="AT7" s="31" t="e">
        <f>AS7/AS8</f>
        <v>#DIV/0!</v>
      </c>
      <c r="AU7" s="28">
        <f t="shared" si="17"/>
        <v>-42000</v>
      </c>
      <c r="AV7" s="23">
        <f t="shared" si="18"/>
        <v>0</v>
      </c>
      <c r="AW7" s="23">
        <f t="shared" si="19"/>
        <v>0</v>
      </c>
      <c r="AX7" s="28">
        <v>42000</v>
      </c>
      <c r="AY7" s="28">
        <v>42000</v>
      </c>
      <c r="AZ7" s="28"/>
      <c r="BA7" s="31" t="e">
        <f>AZ7/AZ8</f>
        <v>#DIV/0!</v>
      </c>
      <c r="BB7" s="28">
        <f t="shared" si="20"/>
        <v>-42000</v>
      </c>
      <c r="BC7" s="31">
        <f t="shared" si="21"/>
        <v>0</v>
      </c>
      <c r="BD7" s="31">
        <f t="shared" si="22"/>
        <v>0</v>
      </c>
      <c r="BE7" s="33">
        <v>42000</v>
      </c>
      <c r="BF7" s="33">
        <v>42000</v>
      </c>
      <c r="BG7" s="33"/>
      <c r="BH7" s="31" t="e">
        <f>BG7/BG8</f>
        <v>#DIV/0!</v>
      </c>
      <c r="BI7" s="28">
        <f t="shared" si="23"/>
        <v>-42000</v>
      </c>
      <c r="BJ7" s="23">
        <f t="shared" si="24"/>
        <v>0</v>
      </c>
      <c r="BK7" s="23">
        <f t="shared" si="25"/>
        <v>0</v>
      </c>
      <c r="BL7" s="28">
        <v>40000</v>
      </c>
      <c r="BM7" s="28">
        <v>40000</v>
      </c>
      <c r="BN7" s="29"/>
      <c r="BO7" s="31" t="e">
        <f>BN7/BN8</f>
        <v>#DIV/0!</v>
      </c>
      <c r="BP7" s="33">
        <f t="shared" si="26"/>
        <v>-40000</v>
      </c>
      <c r="BQ7" s="37">
        <f t="shared" si="27"/>
        <v>0</v>
      </c>
      <c r="BR7" s="37">
        <f t="shared" si="28"/>
        <v>0</v>
      </c>
      <c r="BS7" s="28">
        <v>40000</v>
      </c>
      <c r="BT7" s="28">
        <v>40000</v>
      </c>
      <c r="BU7" s="33"/>
      <c r="BV7" s="31" t="e">
        <f>BU7/BU8</f>
        <v>#DIV/0!</v>
      </c>
      <c r="BW7" s="33">
        <f t="shared" si="29"/>
        <v>-40000</v>
      </c>
      <c r="BX7" s="31">
        <f t="shared" si="30"/>
        <v>0</v>
      </c>
      <c r="BY7" s="31">
        <f t="shared" si="31"/>
        <v>0</v>
      </c>
      <c r="BZ7" s="28">
        <v>40000</v>
      </c>
      <c r="CA7" s="28">
        <v>40000</v>
      </c>
      <c r="CB7" s="33"/>
      <c r="CC7" s="31">
        <f t="shared" si="32"/>
        <v>0</v>
      </c>
      <c r="CD7" s="33">
        <f t="shared" si="33"/>
        <v>-40000</v>
      </c>
      <c r="CE7" s="37">
        <f t="shared" si="34"/>
        <v>0</v>
      </c>
      <c r="CF7" s="37">
        <f t="shared" si="35"/>
        <v>0</v>
      </c>
      <c r="CG7" s="33">
        <v>42000</v>
      </c>
      <c r="CH7" s="33">
        <v>42000</v>
      </c>
      <c r="CI7" s="33"/>
      <c r="CJ7" s="31">
        <f t="shared" si="36"/>
        <v>0</v>
      </c>
      <c r="CK7" s="33">
        <f t="shared" si="37"/>
        <v>-42000</v>
      </c>
      <c r="CL7" s="37">
        <f t="shared" si="38"/>
        <v>0</v>
      </c>
      <c r="CM7" s="37">
        <f t="shared" si="39"/>
        <v>0</v>
      </c>
    </row>
    <row r="8" s="1" customFormat="1" spans="1:91">
      <c r="A8" s="19"/>
      <c r="B8" s="25" t="s">
        <v>22</v>
      </c>
      <c r="C8" s="25" t="s">
        <v>123</v>
      </c>
      <c r="D8" s="27" t="s">
        <v>124</v>
      </c>
      <c r="E8" s="28">
        <f t="shared" ref="E8:J8" si="41">SUM(E4:E7)</f>
        <v>9102680</v>
      </c>
      <c r="F8" s="28">
        <f t="shared" si="41"/>
        <v>2653510.93</v>
      </c>
      <c r="G8" s="23">
        <f t="shared" si="0"/>
        <v>0.291508756761745</v>
      </c>
      <c r="H8" s="38">
        <f t="shared" si="41"/>
        <v>566440</v>
      </c>
      <c r="I8" s="38">
        <v>566440</v>
      </c>
      <c r="J8" s="38">
        <f t="shared" si="41"/>
        <v>449554.71</v>
      </c>
      <c r="K8" s="23">
        <f t="shared" si="1"/>
        <v>1</v>
      </c>
      <c r="L8" s="28">
        <f t="shared" si="2"/>
        <v>-116885.29</v>
      </c>
      <c r="M8" s="23">
        <f t="shared" si="3"/>
        <v>0.793649300896829</v>
      </c>
      <c r="N8" s="23">
        <f t="shared" si="4"/>
        <v>0.793649300896829</v>
      </c>
      <c r="O8" s="38">
        <f t="shared" ref="O8:R8" si="42">SUM(O4:O7)</f>
        <v>1868000</v>
      </c>
      <c r="P8" s="38">
        <f t="shared" si="42"/>
        <v>1868000</v>
      </c>
      <c r="Q8" s="38">
        <f t="shared" si="42"/>
        <v>1628218.69</v>
      </c>
      <c r="R8" s="31">
        <f t="shared" si="42"/>
        <v>1</v>
      </c>
      <c r="S8" s="28">
        <f t="shared" si="5"/>
        <v>-239781.31</v>
      </c>
      <c r="T8" s="23">
        <f t="shared" si="6"/>
        <v>0.871637414346895</v>
      </c>
      <c r="U8" s="23">
        <f t="shared" si="7"/>
        <v>0.871637414346895</v>
      </c>
      <c r="V8" s="28">
        <f t="shared" ref="V8:Y8" si="43">SUM(V4:V7)</f>
        <v>527100</v>
      </c>
      <c r="W8" s="28">
        <f t="shared" si="43"/>
        <v>527100</v>
      </c>
      <c r="X8" s="28">
        <f t="shared" si="43"/>
        <v>575737.53</v>
      </c>
      <c r="Y8" s="31">
        <f t="shared" si="43"/>
        <v>1.00997218693402</v>
      </c>
      <c r="Z8" s="28">
        <f t="shared" si="8"/>
        <v>48637.53</v>
      </c>
      <c r="AA8" s="35">
        <f t="shared" si="9"/>
        <v>1.09227381900968</v>
      </c>
      <c r="AB8" s="35">
        <f t="shared" si="10"/>
        <v>1.09227381900968</v>
      </c>
      <c r="AC8" s="28">
        <f t="shared" ref="AC8:AF8" si="44">SUM(AC4:AC7)</f>
        <v>365400</v>
      </c>
      <c r="AD8" s="28">
        <f t="shared" si="44"/>
        <v>365400</v>
      </c>
      <c r="AE8" s="28">
        <f t="shared" si="44"/>
        <v>0</v>
      </c>
      <c r="AF8" s="31" t="e">
        <f t="shared" si="44"/>
        <v>#DIV/0!</v>
      </c>
      <c r="AG8" s="28">
        <f t="shared" si="11"/>
        <v>-365400</v>
      </c>
      <c r="AH8" s="23">
        <f t="shared" si="12"/>
        <v>0</v>
      </c>
      <c r="AI8" s="23">
        <f t="shared" si="13"/>
        <v>0</v>
      </c>
      <c r="AJ8" s="28">
        <f t="shared" ref="AJ8:AM8" si="45">SUM(AJ4:AJ7)</f>
        <v>537100</v>
      </c>
      <c r="AK8" s="28">
        <f t="shared" si="45"/>
        <v>537100</v>
      </c>
      <c r="AL8" s="28">
        <f t="shared" si="45"/>
        <v>0</v>
      </c>
      <c r="AM8" s="31" t="e">
        <f t="shared" si="45"/>
        <v>#DIV/0!</v>
      </c>
      <c r="AN8" s="28">
        <f t="shared" si="14"/>
        <v>-537100</v>
      </c>
      <c r="AO8" s="23">
        <f t="shared" si="15"/>
        <v>0</v>
      </c>
      <c r="AP8" s="23">
        <f t="shared" si="16"/>
        <v>0</v>
      </c>
      <c r="AQ8" s="28">
        <f t="shared" ref="AQ8:AT8" si="46">SUM(AQ4:AQ7)</f>
        <v>456640</v>
      </c>
      <c r="AR8" s="28">
        <f t="shared" si="46"/>
        <v>456640</v>
      </c>
      <c r="AS8" s="28">
        <f t="shared" si="46"/>
        <v>0</v>
      </c>
      <c r="AT8" s="31" t="e">
        <f t="shared" si="46"/>
        <v>#DIV/0!</v>
      </c>
      <c r="AU8" s="28">
        <f t="shared" si="17"/>
        <v>-456640</v>
      </c>
      <c r="AV8" s="23">
        <f t="shared" si="18"/>
        <v>0</v>
      </c>
      <c r="AW8" s="23">
        <f t="shared" si="19"/>
        <v>0</v>
      </c>
      <c r="AX8" s="28">
        <f t="shared" ref="AX8:BA8" si="47">SUM(AX4:AX7)</f>
        <v>1369250</v>
      </c>
      <c r="AY8" s="28">
        <f t="shared" si="47"/>
        <v>1369250</v>
      </c>
      <c r="AZ8" s="28">
        <f t="shared" si="47"/>
        <v>0</v>
      </c>
      <c r="BA8" s="31" t="e">
        <f t="shared" si="47"/>
        <v>#DIV/0!</v>
      </c>
      <c r="BB8" s="28">
        <f t="shared" si="20"/>
        <v>-1369250</v>
      </c>
      <c r="BC8" s="31">
        <f t="shared" si="21"/>
        <v>0</v>
      </c>
      <c r="BD8" s="31">
        <f t="shared" si="22"/>
        <v>0</v>
      </c>
      <c r="BE8" s="33">
        <f t="shared" ref="BE8:BH8" si="48">SUM(BE4:BE7)</f>
        <v>1364250</v>
      </c>
      <c r="BF8" s="33">
        <f t="shared" si="48"/>
        <v>1364250</v>
      </c>
      <c r="BG8" s="39">
        <f t="shared" si="48"/>
        <v>0</v>
      </c>
      <c r="BH8" s="31" t="e">
        <f t="shared" si="48"/>
        <v>#DIV/0!</v>
      </c>
      <c r="BI8" s="28">
        <f t="shared" si="23"/>
        <v>-1364250</v>
      </c>
      <c r="BJ8" s="23">
        <f t="shared" si="24"/>
        <v>0</v>
      </c>
      <c r="BK8" s="23">
        <f t="shared" si="25"/>
        <v>0</v>
      </c>
      <c r="BL8" s="28">
        <f t="shared" ref="BL8:BO8" si="49">SUM(BL4:BL7)</f>
        <v>363400</v>
      </c>
      <c r="BM8" s="28">
        <f t="shared" si="49"/>
        <v>363400</v>
      </c>
      <c r="BN8" s="39">
        <f t="shared" si="49"/>
        <v>0</v>
      </c>
      <c r="BO8" s="31" t="e">
        <f t="shared" si="49"/>
        <v>#DIV/0!</v>
      </c>
      <c r="BP8" s="33">
        <f t="shared" si="26"/>
        <v>-363400</v>
      </c>
      <c r="BQ8" s="37">
        <f t="shared" si="27"/>
        <v>0</v>
      </c>
      <c r="BR8" s="37">
        <f t="shared" si="28"/>
        <v>0</v>
      </c>
      <c r="BS8" s="28">
        <f t="shared" ref="BS8:BV8" si="50">SUM(BS4:BS7)</f>
        <v>600560</v>
      </c>
      <c r="BT8" s="28">
        <f t="shared" si="50"/>
        <v>600560</v>
      </c>
      <c r="BU8" s="39">
        <f t="shared" si="50"/>
        <v>0</v>
      </c>
      <c r="BV8" s="31" t="e">
        <f t="shared" si="50"/>
        <v>#DIV/0!</v>
      </c>
      <c r="BW8" s="33">
        <f t="shared" si="29"/>
        <v>-600560</v>
      </c>
      <c r="BX8" s="31">
        <f t="shared" si="30"/>
        <v>0</v>
      </c>
      <c r="BY8" s="31">
        <f t="shared" si="31"/>
        <v>0</v>
      </c>
      <c r="BZ8" s="28">
        <f t="shared" ref="BZ8:CB8" si="51">SUM(BZ4:BZ7)</f>
        <v>449640</v>
      </c>
      <c r="CA8" s="38">
        <f t="shared" si="51"/>
        <v>449640</v>
      </c>
      <c r="CB8" s="39">
        <f t="shared" si="51"/>
        <v>0</v>
      </c>
      <c r="CC8" s="31">
        <f t="shared" si="32"/>
        <v>0</v>
      </c>
      <c r="CD8" s="33">
        <f t="shared" si="33"/>
        <v>-449640</v>
      </c>
      <c r="CE8" s="37">
        <f t="shared" si="34"/>
        <v>0</v>
      </c>
      <c r="CF8" s="37">
        <f t="shared" si="35"/>
        <v>0</v>
      </c>
      <c r="CG8" s="33">
        <f t="shared" ref="CG8:CI8" si="52">SUM(CG4:CG7)</f>
        <v>634900</v>
      </c>
      <c r="CH8" s="33">
        <f t="shared" si="52"/>
        <v>634900</v>
      </c>
      <c r="CI8" s="39">
        <f t="shared" si="52"/>
        <v>0</v>
      </c>
      <c r="CJ8" s="31">
        <f t="shared" si="36"/>
        <v>0</v>
      </c>
      <c r="CK8" s="33">
        <f t="shared" si="37"/>
        <v>-634900</v>
      </c>
      <c r="CL8" s="37">
        <f t="shared" si="38"/>
        <v>0</v>
      </c>
      <c r="CM8" s="37">
        <f t="shared" si="39"/>
        <v>0</v>
      </c>
    </row>
    <row r="9" s="1" customFormat="1" ht="25" customHeight="1" spans="1:91">
      <c r="A9" s="19" t="s">
        <v>125</v>
      </c>
      <c r="B9" s="40" t="s">
        <v>36</v>
      </c>
      <c r="C9" s="40" t="s">
        <v>126</v>
      </c>
      <c r="D9" s="41" t="s">
        <v>127</v>
      </c>
      <c r="E9" s="28">
        <f t="shared" ref="E9:J9" si="53">SUM(E10:E18)</f>
        <v>5642544.68446602</v>
      </c>
      <c r="F9" s="33">
        <f t="shared" si="53"/>
        <v>1504854.21</v>
      </c>
      <c r="G9" s="31">
        <f t="shared" si="0"/>
        <v>0.266697792246622</v>
      </c>
      <c r="H9" s="28">
        <f t="shared" si="53"/>
        <v>388825.330194175</v>
      </c>
      <c r="I9" s="28">
        <f t="shared" si="53"/>
        <v>388825.330194175</v>
      </c>
      <c r="J9" s="28">
        <f t="shared" si="53"/>
        <v>312795.24</v>
      </c>
      <c r="K9" s="31">
        <f t="shared" si="1"/>
        <v>0.695789039781165</v>
      </c>
      <c r="L9" s="33">
        <f t="shared" si="2"/>
        <v>-76030.090194175</v>
      </c>
      <c r="M9" s="23">
        <f t="shared" si="3"/>
        <v>0.804462095727646</v>
      </c>
      <c r="N9" s="31">
        <f t="shared" si="4"/>
        <v>0.804462095727646</v>
      </c>
      <c r="O9" s="28">
        <f t="shared" ref="O9:Q9" si="54">SUM(O10:O18)</f>
        <v>975836.980679612</v>
      </c>
      <c r="P9" s="28">
        <f t="shared" si="54"/>
        <v>975836.980679612</v>
      </c>
      <c r="Q9" s="28">
        <f t="shared" si="54"/>
        <v>838080.16</v>
      </c>
      <c r="R9" s="31">
        <f t="shared" ref="R9:R19" si="55">Q9/$J$8</f>
        <v>1.86424508821184</v>
      </c>
      <c r="S9" s="33">
        <f t="shared" si="5"/>
        <v>-137756.820679612</v>
      </c>
      <c r="T9" s="23">
        <f t="shared" si="6"/>
        <v>0.85883213753216</v>
      </c>
      <c r="U9" s="31">
        <f t="shared" si="7"/>
        <v>0.85883213753216</v>
      </c>
      <c r="V9" s="28">
        <f t="shared" ref="V9:X9" si="56">SUM(V10:V18)</f>
        <v>356568.538932039</v>
      </c>
      <c r="W9" s="28">
        <f t="shared" si="56"/>
        <v>356568.538932039</v>
      </c>
      <c r="X9" s="28">
        <f t="shared" si="56"/>
        <v>353978.81</v>
      </c>
      <c r="Y9" s="31">
        <f t="shared" ref="Y9:Y19" si="57">X9/$J$8</f>
        <v>0.787398735072757</v>
      </c>
      <c r="Z9" s="28">
        <f t="shared" si="8"/>
        <v>-2589.72893203906</v>
      </c>
      <c r="AA9" s="23">
        <f t="shared" si="9"/>
        <v>0.992737079553357</v>
      </c>
      <c r="AB9" s="23">
        <f t="shared" si="10"/>
        <v>0.992737079553357</v>
      </c>
      <c r="AC9" s="28">
        <f t="shared" ref="AC9:AE9" si="58">SUM(AC10:AC18)</f>
        <v>286284.582621359</v>
      </c>
      <c r="AD9" s="28">
        <f t="shared" si="58"/>
        <v>286284.582621359</v>
      </c>
      <c r="AE9" s="28">
        <f t="shared" si="58"/>
        <v>0</v>
      </c>
      <c r="AF9" s="23">
        <f t="shared" ref="AF9:AF19" si="59">AE9/$J$8</f>
        <v>0</v>
      </c>
      <c r="AG9" s="28">
        <f t="shared" si="11"/>
        <v>-286284.582621359</v>
      </c>
      <c r="AH9" s="23">
        <f t="shared" si="12"/>
        <v>0</v>
      </c>
      <c r="AI9" s="31">
        <f t="shared" si="13"/>
        <v>0</v>
      </c>
      <c r="AJ9" s="28">
        <f>SUM(AJ10:AJ18)</f>
        <v>361568.538932039</v>
      </c>
      <c r="AK9" s="28">
        <f>SUM(AK10:AK18)</f>
        <v>361568.538932039</v>
      </c>
      <c r="AL9" s="28">
        <f t="shared" ref="AJ9:AL9" si="60">SUM(AL10:AL18)</f>
        <v>0</v>
      </c>
      <c r="AM9" s="31">
        <f t="shared" ref="AM9:AM19" si="61">AL9/$J$8</f>
        <v>0</v>
      </c>
      <c r="AN9" s="33">
        <f t="shared" si="14"/>
        <v>-361568.538932039</v>
      </c>
      <c r="AO9" s="23">
        <f t="shared" si="15"/>
        <v>0</v>
      </c>
      <c r="AP9" s="31">
        <f t="shared" si="16"/>
        <v>0</v>
      </c>
      <c r="AQ9" s="28">
        <f t="shared" ref="AQ9:AS9" si="62">SUM(AQ10:AQ18)</f>
        <v>327269.359320388</v>
      </c>
      <c r="AR9" s="28">
        <f t="shared" si="62"/>
        <v>327269.359320388</v>
      </c>
      <c r="AS9" s="28">
        <f t="shared" si="62"/>
        <v>0</v>
      </c>
      <c r="AT9" s="31">
        <f t="shared" ref="AT9:AT19" si="63">AS9/$J$8</f>
        <v>0</v>
      </c>
      <c r="AU9" s="33">
        <f t="shared" si="17"/>
        <v>-327269.359320388</v>
      </c>
      <c r="AV9" s="23">
        <f t="shared" si="18"/>
        <v>0</v>
      </c>
      <c r="AW9" s="31">
        <f t="shared" si="19"/>
        <v>0</v>
      </c>
      <c r="AX9" s="28">
        <f t="shared" ref="AX9:AZ9" si="64">SUM(AX10:AX18)</f>
        <v>762822.611747573</v>
      </c>
      <c r="AY9" s="28">
        <f t="shared" si="64"/>
        <v>762822.611747573</v>
      </c>
      <c r="AZ9" s="28">
        <f t="shared" si="64"/>
        <v>0</v>
      </c>
      <c r="BA9" s="31">
        <f t="shared" ref="BA9:BA19" si="65">AZ9/$J$8</f>
        <v>0</v>
      </c>
      <c r="BB9" s="33">
        <f t="shared" si="20"/>
        <v>-762822.611747573</v>
      </c>
      <c r="BC9" s="23">
        <f t="shared" si="21"/>
        <v>0</v>
      </c>
      <c r="BD9" s="31">
        <f t="shared" si="22"/>
        <v>0</v>
      </c>
      <c r="BE9" s="28">
        <f t="shared" ref="BE9:BG9" si="66">SUM(BE10:BE18)</f>
        <v>763122.611747573</v>
      </c>
      <c r="BF9" s="28">
        <f t="shared" si="66"/>
        <v>763122.611747573</v>
      </c>
      <c r="BG9" s="28">
        <f t="shared" si="66"/>
        <v>0</v>
      </c>
      <c r="BH9" s="31">
        <f t="shared" ref="BH9:BH19" si="67">BG9/$J$8</f>
        <v>0</v>
      </c>
      <c r="BI9" s="28">
        <f t="shared" si="23"/>
        <v>-763122.611747573</v>
      </c>
      <c r="BJ9" s="23">
        <f t="shared" si="24"/>
        <v>0</v>
      </c>
      <c r="BK9" s="23">
        <f t="shared" si="25"/>
        <v>0</v>
      </c>
      <c r="BL9" s="28">
        <f t="shared" ref="BL9:BN9" si="68">SUM(BL10:BL18)</f>
        <v>286984.582621359</v>
      </c>
      <c r="BM9" s="28">
        <f t="shared" si="68"/>
        <v>286984.582621359</v>
      </c>
      <c r="BN9" s="28">
        <f t="shared" si="68"/>
        <v>0</v>
      </c>
      <c r="BO9" s="31">
        <f t="shared" ref="BO9:BO19" si="69">BN9/$J$8</f>
        <v>0</v>
      </c>
      <c r="BP9" s="33">
        <f t="shared" si="26"/>
        <v>-286984.582621359</v>
      </c>
      <c r="BQ9" s="36">
        <f t="shared" si="27"/>
        <v>0</v>
      </c>
      <c r="BR9" s="37">
        <f t="shared" si="28"/>
        <v>0</v>
      </c>
      <c r="BS9" s="28">
        <f t="shared" ref="BS9:BU9" si="70">SUM(BS10:BS18)</f>
        <v>399367.718543689</v>
      </c>
      <c r="BT9" s="28">
        <f t="shared" si="70"/>
        <v>399367.718543689</v>
      </c>
      <c r="BU9" s="28">
        <f t="shared" si="70"/>
        <v>0</v>
      </c>
      <c r="BV9" s="31">
        <f t="shared" ref="BV9:BV19" si="71">BU9/$J$8</f>
        <v>0</v>
      </c>
      <c r="BW9" s="33">
        <f t="shared" si="29"/>
        <v>-399367.718543689</v>
      </c>
      <c r="BX9" s="36">
        <f t="shared" si="30"/>
        <v>0</v>
      </c>
      <c r="BY9" s="37">
        <f t="shared" si="31"/>
        <v>0</v>
      </c>
      <c r="BZ9" s="28">
        <f t="shared" ref="BZ9:CB9" si="72">SUM(BZ10:BZ18)</f>
        <v>322469.359320388</v>
      </c>
      <c r="CA9" s="28">
        <f t="shared" si="72"/>
        <v>322469.359320388</v>
      </c>
      <c r="CB9" s="28">
        <f t="shared" si="72"/>
        <v>0</v>
      </c>
      <c r="CC9" s="31">
        <f t="shared" si="32"/>
        <v>0</v>
      </c>
      <c r="CD9" s="33">
        <f t="shared" si="33"/>
        <v>-322469.359320388</v>
      </c>
      <c r="CE9" s="36">
        <f t="shared" si="34"/>
        <v>0</v>
      </c>
      <c r="CF9" s="37">
        <f t="shared" si="35"/>
        <v>0</v>
      </c>
      <c r="CG9" s="28">
        <f t="shared" ref="CG9:CI9" si="73">SUM(CG10:CG18)</f>
        <v>411424.469805825</v>
      </c>
      <c r="CH9" s="28">
        <f t="shared" si="73"/>
        <v>411424.469805825</v>
      </c>
      <c r="CI9" s="28">
        <f t="shared" si="73"/>
        <v>0</v>
      </c>
      <c r="CJ9" s="31">
        <f t="shared" si="36"/>
        <v>0</v>
      </c>
      <c r="CK9" s="33">
        <f t="shared" si="37"/>
        <v>-411424.469805825</v>
      </c>
      <c r="CL9" s="36">
        <f t="shared" si="38"/>
        <v>0</v>
      </c>
      <c r="CM9" s="37">
        <f t="shared" si="39"/>
        <v>0</v>
      </c>
    </row>
    <row r="10" s="1" customFormat="1" ht="16.5" spans="1:91">
      <c r="A10" s="19"/>
      <c r="B10" s="42" t="s">
        <v>26</v>
      </c>
      <c r="C10" s="43" t="s">
        <v>27</v>
      </c>
      <c r="D10" s="44" t="s">
        <v>122</v>
      </c>
      <c r="E10" s="45">
        <v>3172524.68446602</v>
      </c>
      <c r="F10" s="29">
        <f t="shared" si="40"/>
        <v>928260.72</v>
      </c>
      <c r="G10" s="31">
        <f t="shared" si="0"/>
        <v>0.292593695029433</v>
      </c>
      <c r="H10" s="28">
        <v>191548.660194175</v>
      </c>
      <c r="I10" s="28">
        <v>191548.660194175</v>
      </c>
      <c r="J10" s="28">
        <v>150058.42</v>
      </c>
      <c r="K10" s="31">
        <f t="shared" si="1"/>
        <v>0.333793455306029</v>
      </c>
      <c r="L10" s="33">
        <f t="shared" ref="L10:L18" si="74">J10-I10</f>
        <v>-41490.240194175</v>
      </c>
      <c r="M10" s="23">
        <f t="shared" si="3"/>
        <v>0.783395821447585</v>
      </c>
      <c r="N10" s="31">
        <f t="shared" si="4"/>
        <v>0.783395821447585</v>
      </c>
      <c r="O10" s="28">
        <v>670420.310679612</v>
      </c>
      <c r="P10" s="28">
        <v>670420.310679612</v>
      </c>
      <c r="Q10" s="28">
        <v>580611.52</v>
      </c>
      <c r="R10" s="31">
        <f t="shared" si="55"/>
        <v>1.29152583008195</v>
      </c>
      <c r="S10" s="33">
        <f t="shared" si="5"/>
        <v>-89808.790679612</v>
      </c>
      <c r="T10" s="23">
        <f t="shared" si="6"/>
        <v>0.86604106521091</v>
      </c>
      <c r="U10" s="31">
        <f t="shared" si="7"/>
        <v>0.86604106521091</v>
      </c>
      <c r="V10" s="28">
        <v>179576.868932039</v>
      </c>
      <c r="W10" s="28">
        <v>179576.868932039</v>
      </c>
      <c r="X10" s="28">
        <v>197590.78</v>
      </c>
      <c r="Y10" s="31">
        <f t="shared" si="57"/>
        <v>0.439525547402228</v>
      </c>
      <c r="Z10" s="28">
        <f t="shared" si="8"/>
        <v>18013.911067961</v>
      </c>
      <c r="AA10" s="23">
        <f t="shared" si="9"/>
        <v>1.10031309252183</v>
      </c>
      <c r="AB10" s="23">
        <f t="shared" si="10"/>
        <v>1.10031309252183</v>
      </c>
      <c r="AC10" s="28">
        <v>119717.912621359</v>
      </c>
      <c r="AD10" s="28">
        <v>119717.912621359</v>
      </c>
      <c r="AE10" s="28"/>
      <c r="AF10" s="23">
        <f t="shared" si="59"/>
        <v>0</v>
      </c>
      <c r="AG10" s="28">
        <f t="shared" si="11"/>
        <v>-119717.912621359</v>
      </c>
      <c r="AH10" s="23">
        <f t="shared" si="12"/>
        <v>0</v>
      </c>
      <c r="AI10" s="31">
        <f t="shared" si="13"/>
        <v>0</v>
      </c>
      <c r="AJ10" s="28">
        <v>179576.868932039</v>
      </c>
      <c r="AK10" s="28">
        <v>179576.868932039</v>
      </c>
      <c r="AL10" s="28"/>
      <c r="AM10" s="31">
        <f t="shared" si="61"/>
        <v>0</v>
      </c>
      <c r="AN10" s="33">
        <f t="shared" si="14"/>
        <v>-179576.868932039</v>
      </c>
      <c r="AO10" s="23">
        <f t="shared" si="15"/>
        <v>0</v>
      </c>
      <c r="AP10" s="31">
        <f t="shared" si="16"/>
        <v>0</v>
      </c>
      <c r="AQ10" s="28">
        <v>151642.689320388</v>
      </c>
      <c r="AR10" s="28">
        <v>151642.689320388</v>
      </c>
      <c r="AS10" s="28"/>
      <c r="AT10" s="31">
        <f t="shared" si="63"/>
        <v>0</v>
      </c>
      <c r="AU10" s="33">
        <f t="shared" si="17"/>
        <v>-151642.689320388</v>
      </c>
      <c r="AV10" s="23">
        <f t="shared" si="18"/>
        <v>0</v>
      </c>
      <c r="AW10" s="31">
        <f t="shared" si="19"/>
        <v>0</v>
      </c>
      <c r="AX10" s="28">
        <v>490843.441747573</v>
      </c>
      <c r="AY10" s="28">
        <v>490843.441747573</v>
      </c>
      <c r="AZ10" s="28"/>
      <c r="BA10" s="31">
        <f t="shared" si="65"/>
        <v>0</v>
      </c>
      <c r="BB10" s="33">
        <f t="shared" si="20"/>
        <v>-490843.441747573</v>
      </c>
      <c r="BC10" s="23">
        <f t="shared" si="21"/>
        <v>0</v>
      </c>
      <c r="BD10" s="31">
        <f t="shared" si="22"/>
        <v>0</v>
      </c>
      <c r="BE10" s="28">
        <v>490843.441747573</v>
      </c>
      <c r="BF10" s="28">
        <v>490843.441747573</v>
      </c>
      <c r="BG10" s="28"/>
      <c r="BH10" s="31">
        <f t="shared" si="67"/>
        <v>0</v>
      </c>
      <c r="BI10" s="28">
        <f t="shared" si="23"/>
        <v>-490843.441747573</v>
      </c>
      <c r="BJ10" s="23">
        <f t="shared" si="24"/>
        <v>0</v>
      </c>
      <c r="BK10" s="23">
        <f t="shared" si="25"/>
        <v>0</v>
      </c>
      <c r="BL10" s="46">
        <v>119717.912621359</v>
      </c>
      <c r="BM10" s="46">
        <v>119717.912621359</v>
      </c>
      <c r="BN10" s="47"/>
      <c r="BO10" s="31">
        <f t="shared" si="69"/>
        <v>0</v>
      </c>
      <c r="BP10" s="33">
        <f t="shared" si="26"/>
        <v>-119717.912621359</v>
      </c>
      <c r="BQ10" s="36">
        <f t="shared" si="27"/>
        <v>0</v>
      </c>
      <c r="BR10" s="37">
        <f t="shared" si="28"/>
        <v>0</v>
      </c>
      <c r="BS10" s="46">
        <v>207511.048543689</v>
      </c>
      <c r="BT10" s="46">
        <v>207511.048543689</v>
      </c>
      <c r="BU10" s="28"/>
      <c r="BV10" s="31">
        <f t="shared" si="71"/>
        <v>0</v>
      </c>
      <c r="BW10" s="33">
        <f t="shared" si="29"/>
        <v>-207511.048543689</v>
      </c>
      <c r="BX10" s="36">
        <f t="shared" si="30"/>
        <v>0</v>
      </c>
      <c r="BY10" s="37">
        <f t="shared" si="31"/>
        <v>0</v>
      </c>
      <c r="BZ10" s="46">
        <v>151642.689320388</v>
      </c>
      <c r="CA10" s="46">
        <v>151642.689320388</v>
      </c>
      <c r="CB10" s="28"/>
      <c r="CC10" s="31">
        <f t="shared" si="32"/>
        <v>0</v>
      </c>
      <c r="CD10" s="33">
        <f t="shared" si="33"/>
        <v>-151642.689320388</v>
      </c>
      <c r="CE10" s="36">
        <f t="shared" si="34"/>
        <v>0</v>
      </c>
      <c r="CF10" s="37">
        <f t="shared" si="35"/>
        <v>0</v>
      </c>
      <c r="CG10" s="48">
        <v>219482.839805825</v>
      </c>
      <c r="CH10" s="48">
        <v>219482.839805825</v>
      </c>
      <c r="CI10" s="28"/>
      <c r="CJ10" s="31">
        <f t="shared" si="36"/>
        <v>0</v>
      </c>
      <c r="CK10" s="33">
        <f t="shared" si="37"/>
        <v>-219482.839805825</v>
      </c>
      <c r="CL10" s="36">
        <f t="shared" si="38"/>
        <v>0</v>
      </c>
      <c r="CM10" s="37">
        <f t="shared" si="39"/>
        <v>0</v>
      </c>
    </row>
    <row r="11" s="1" customFormat="1" ht="16.5" spans="1:91">
      <c r="A11" s="19"/>
      <c r="B11" s="42" t="s">
        <v>28</v>
      </c>
      <c r="C11" s="43" t="s">
        <v>29</v>
      </c>
      <c r="D11" s="44" t="s">
        <v>122</v>
      </c>
      <c r="E11" s="45">
        <v>151920</v>
      </c>
      <c r="F11" s="29">
        <f t="shared" ref="F11:F21" si="75">J11+Q11+X11+AE11+AL11+AS11+AZ11+BG11+BN11+BU11+CB11+CI11</f>
        <v>44636.45</v>
      </c>
      <c r="G11" s="31">
        <f t="shared" si="0"/>
        <v>0.293815494997367</v>
      </c>
      <c r="H11" s="28">
        <v>9360</v>
      </c>
      <c r="I11" s="28">
        <v>9360</v>
      </c>
      <c r="J11" s="28">
        <v>11144.35</v>
      </c>
      <c r="K11" s="31">
        <f t="shared" si="1"/>
        <v>0.0247897525086546</v>
      </c>
      <c r="L11" s="33">
        <f t="shared" si="74"/>
        <v>1784.35</v>
      </c>
      <c r="M11" s="23">
        <f t="shared" si="3"/>
        <v>1.19063568376068</v>
      </c>
      <c r="N11" s="31">
        <f t="shared" si="4"/>
        <v>1.19063568376068</v>
      </c>
      <c r="O11" s="28">
        <v>31500</v>
      </c>
      <c r="P11" s="28">
        <v>31500</v>
      </c>
      <c r="Q11" s="28">
        <v>21921.96</v>
      </c>
      <c r="R11" s="31">
        <f t="shared" si="55"/>
        <v>0.0487637199930571</v>
      </c>
      <c r="S11" s="33">
        <f t="shared" si="5"/>
        <v>-9578.04</v>
      </c>
      <c r="T11" s="23">
        <f t="shared" si="6"/>
        <v>0.695935238095238</v>
      </c>
      <c r="U11" s="31">
        <f t="shared" si="7"/>
        <v>0.695935238095238</v>
      </c>
      <c r="V11" s="28">
        <v>8775</v>
      </c>
      <c r="W11" s="28">
        <v>8775</v>
      </c>
      <c r="X11" s="28">
        <v>11570.14</v>
      </c>
      <c r="Y11" s="31">
        <f t="shared" si="57"/>
        <v>0.0257368897325089</v>
      </c>
      <c r="Z11" s="28">
        <f t="shared" si="8"/>
        <v>2795.14</v>
      </c>
      <c r="AA11" s="23">
        <f t="shared" si="9"/>
        <v>1.31853447293447</v>
      </c>
      <c r="AB11" s="23">
        <f t="shared" si="10"/>
        <v>1.31853447293447</v>
      </c>
      <c r="AC11" s="28">
        <v>5850</v>
      </c>
      <c r="AD11" s="28">
        <v>5850</v>
      </c>
      <c r="AE11" s="28"/>
      <c r="AF11" s="23">
        <f t="shared" si="59"/>
        <v>0</v>
      </c>
      <c r="AG11" s="28">
        <f t="shared" si="11"/>
        <v>-5850</v>
      </c>
      <c r="AH11" s="23">
        <f t="shared" si="12"/>
        <v>0</v>
      </c>
      <c r="AI11" s="31">
        <f t="shared" si="13"/>
        <v>0</v>
      </c>
      <c r="AJ11" s="28">
        <v>8775</v>
      </c>
      <c r="AK11" s="28">
        <v>8775</v>
      </c>
      <c r="AL11" s="28"/>
      <c r="AM11" s="31">
        <f t="shared" si="61"/>
        <v>0</v>
      </c>
      <c r="AN11" s="33">
        <f t="shared" si="14"/>
        <v>-8775</v>
      </c>
      <c r="AO11" s="23">
        <f t="shared" si="15"/>
        <v>0</v>
      </c>
      <c r="AP11" s="31">
        <f t="shared" si="16"/>
        <v>0</v>
      </c>
      <c r="AQ11" s="28">
        <v>7410</v>
      </c>
      <c r="AR11" s="28">
        <v>7410</v>
      </c>
      <c r="AS11" s="28"/>
      <c r="AT11" s="31">
        <f t="shared" si="63"/>
        <v>0</v>
      </c>
      <c r="AU11" s="33">
        <f t="shared" si="17"/>
        <v>-7410</v>
      </c>
      <c r="AV11" s="23">
        <f t="shared" si="18"/>
        <v>0</v>
      </c>
      <c r="AW11" s="31">
        <f t="shared" si="19"/>
        <v>0</v>
      </c>
      <c r="AX11" s="28">
        <v>23062.5</v>
      </c>
      <c r="AY11" s="28">
        <v>23062.5</v>
      </c>
      <c r="AZ11" s="28"/>
      <c r="BA11" s="31">
        <f t="shared" si="65"/>
        <v>0</v>
      </c>
      <c r="BB11" s="33">
        <f t="shared" si="20"/>
        <v>-23062.5</v>
      </c>
      <c r="BC11" s="23">
        <f t="shared" si="21"/>
        <v>0</v>
      </c>
      <c r="BD11" s="31">
        <f t="shared" si="22"/>
        <v>0</v>
      </c>
      <c r="BE11" s="28">
        <v>23062.5</v>
      </c>
      <c r="BF11" s="28">
        <v>23062.5</v>
      </c>
      <c r="BG11" s="28"/>
      <c r="BH11" s="31">
        <f t="shared" si="67"/>
        <v>0</v>
      </c>
      <c r="BI11" s="28">
        <f t="shared" si="23"/>
        <v>-23062.5</v>
      </c>
      <c r="BJ11" s="23">
        <f t="shared" si="24"/>
        <v>0</v>
      </c>
      <c r="BK11" s="23">
        <f t="shared" si="25"/>
        <v>0</v>
      </c>
      <c r="BL11" s="46">
        <v>5850</v>
      </c>
      <c r="BM11" s="46">
        <v>5850</v>
      </c>
      <c r="BN11" s="47"/>
      <c r="BO11" s="31">
        <f t="shared" si="69"/>
        <v>0</v>
      </c>
      <c r="BP11" s="33">
        <f t="shared" si="26"/>
        <v>-5850</v>
      </c>
      <c r="BQ11" s="36">
        <f t="shared" si="27"/>
        <v>0</v>
      </c>
      <c r="BR11" s="37">
        <f t="shared" si="28"/>
        <v>0</v>
      </c>
      <c r="BS11" s="46">
        <v>10140</v>
      </c>
      <c r="BT11" s="46">
        <v>10140</v>
      </c>
      <c r="BU11" s="28"/>
      <c r="BV11" s="31">
        <f t="shared" si="71"/>
        <v>0</v>
      </c>
      <c r="BW11" s="33">
        <f t="shared" si="29"/>
        <v>-10140</v>
      </c>
      <c r="BX11" s="36">
        <f t="shared" si="30"/>
        <v>0</v>
      </c>
      <c r="BY11" s="37">
        <f t="shared" si="31"/>
        <v>0</v>
      </c>
      <c r="BZ11" s="46">
        <v>7410</v>
      </c>
      <c r="CA11" s="46">
        <v>7410</v>
      </c>
      <c r="CB11" s="28"/>
      <c r="CC11" s="31">
        <f t="shared" si="32"/>
        <v>0</v>
      </c>
      <c r="CD11" s="33">
        <f t="shared" si="33"/>
        <v>-7410</v>
      </c>
      <c r="CE11" s="36">
        <f t="shared" si="34"/>
        <v>0</v>
      </c>
      <c r="CF11" s="37">
        <f t="shared" si="35"/>
        <v>0</v>
      </c>
      <c r="CG11" s="48">
        <v>10725</v>
      </c>
      <c r="CH11" s="48">
        <v>10725</v>
      </c>
      <c r="CI11" s="28"/>
      <c r="CJ11" s="31">
        <f t="shared" si="36"/>
        <v>0</v>
      </c>
      <c r="CK11" s="33">
        <f t="shared" si="37"/>
        <v>-10725</v>
      </c>
      <c r="CL11" s="36">
        <f t="shared" si="38"/>
        <v>0</v>
      </c>
      <c r="CM11" s="37">
        <f t="shared" si="39"/>
        <v>0</v>
      </c>
    </row>
    <row r="12" s="1" customFormat="1" ht="16.5" spans="1:91">
      <c r="A12" s="19"/>
      <c r="B12" s="42" t="s">
        <v>30</v>
      </c>
      <c r="C12" s="43" t="s">
        <v>31</v>
      </c>
      <c r="D12" s="44" t="s">
        <v>122</v>
      </c>
      <c r="E12" s="45">
        <v>289000</v>
      </c>
      <c r="F12" s="29">
        <f t="shared" si="75"/>
        <v>53249.45</v>
      </c>
      <c r="G12" s="31">
        <f t="shared" si="0"/>
        <v>0.184254152249135</v>
      </c>
      <c r="H12" s="28">
        <v>30000</v>
      </c>
      <c r="I12" s="28">
        <v>30000</v>
      </c>
      <c r="J12" s="28">
        <v>18061.7</v>
      </c>
      <c r="K12" s="31">
        <f t="shared" si="1"/>
        <v>0.0401768674606924</v>
      </c>
      <c r="L12" s="33">
        <f t="shared" si="74"/>
        <v>-11938.3</v>
      </c>
      <c r="M12" s="23">
        <f t="shared" si="3"/>
        <v>0.602056666666667</v>
      </c>
      <c r="N12" s="31">
        <f t="shared" si="4"/>
        <v>0.602056666666667</v>
      </c>
      <c r="O12" s="28">
        <v>30000</v>
      </c>
      <c r="P12" s="28">
        <v>30000</v>
      </c>
      <c r="Q12" s="28">
        <v>17591.38</v>
      </c>
      <c r="R12" s="31">
        <f t="shared" si="55"/>
        <v>0.0391306766644709</v>
      </c>
      <c r="S12" s="33">
        <f t="shared" si="5"/>
        <v>-12408.62</v>
      </c>
      <c r="T12" s="23">
        <f t="shared" si="6"/>
        <v>0.586379333333333</v>
      </c>
      <c r="U12" s="31">
        <f t="shared" si="7"/>
        <v>0.586379333333333</v>
      </c>
      <c r="V12" s="28">
        <v>21000</v>
      </c>
      <c r="W12" s="28">
        <v>21000</v>
      </c>
      <c r="X12" s="28">
        <v>17596.37</v>
      </c>
      <c r="Y12" s="31">
        <f t="shared" si="57"/>
        <v>0.0391417765370537</v>
      </c>
      <c r="Z12" s="28">
        <f t="shared" si="8"/>
        <v>-3403.63</v>
      </c>
      <c r="AA12" s="23">
        <f t="shared" si="9"/>
        <v>0.837922380952381</v>
      </c>
      <c r="AB12" s="23">
        <f t="shared" si="10"/>
        <v>0.837922380952381</v>
      </c>
      <c r="AC12" s="28">
        <v>21000</v>
      </c>
      <c r="AD12" s="28">
        <v>21000</v>
      </c>
      <c r="AE12" s="28"/>
      <c r="AF12" s="23">
        <f t="shared" si="59"/>
        <v>0</v>
      </c>
      <c r="AG12" s="28">
        <f t="shared" si="11"/>
        <v>-21000</v>
      </c>
      <c r="AH12" s="23">
        <f t="shared" si="12"/>
        <v>0</v>
      </c>
      <c r="AI12" s="31">
        <f t="shared" si="13"/>
        <v>0</v>
      </c>
      <c r="AJ12" s="28">
        <v>21000</v>
      </c>
      <c r="AK12" s="28">
        <v>21000</v>
      </c>
      <c r="AL12" s="28"/>
      <c r="AM12" s="31">
        <f t="shared" si="61"/>
        <v>0</v>
      </c>
      <c r="AN12" s="33">
        <f t="shared" si="14"/>
        <v>-21000</v>
      </c>
      <c r="AO12" s="23">
        <f t="shared" si="15"/>
        <v>0</v>
      </c>
      <c r="AP12" s="31">
        <f t="shared" si="16"/>
        <v>0</v>
      </c>
      <c r="AQ12" s="28">
        <v>21000</v>
      </c>
      <c r="AR12" s="28">
        <v>21000</v>
      </c>
      <c r="AS12" s="28"/>
      <c r="AT12" s="31">
        <f t="shared" si="63"/>
        <v>0</v>
      </c>
      <c r="AU12" s="33">
        <f t="shared" si="17"/>
        <v>-21000</v>
      </c>
      <c r="AV12" s="23">
        <f t="shared" si="18"/>
        <v>0</v>
      </c>
      <c r="AW12" s="31">
        <f t="shared" si="19"/>
        <v>0</v>
      </c>
      <c r="AX12" s="28">
        <v>30000</v>
      </c>
      <c r="AY12" s="28">
        <v>30000</v>
      </c>
      <c r="AZ12" s="28"/>
      <c r="BA12" s="31">
        <f t="shared" si="65"/>
        <v>0</v>
      </c>
      <c r="BB12" s="33">
        <f t="shared" si="20"/>
        <v>-30000</v>
      </c>
      <c r="BC12" s="23">
        <f t="shared" si="21"/>
        <v>0</v>
      </c>
      <c r="BD12" s="31">
        <f t="shared" si="22"/>
        <v>0</v>
      </c>
      <c r="BE12" s="28">
        <v>30000</v>
      </c>
      <c r="BF12" s="28">
        <v>30000</v>
      </c>
      <c r="BG12" s="28"/>
      <c r="BH12" s="31">
        <f t="shared" si="67"/>
        <v>0</v>
      </c>
      <c r="BI12" s="28">
        <f t="shared" si="23"/>
        <v>-30000</v>
      </c>
      <c r="BJ12" s="23">
        <f t="shared" si="24"/>
        <v>0</v>
      </c>
      <c r="BK12" s="23">
        <f t="shared" si="25"/>
        <v>0</v>
      </c>
      <c r="BL12" s="46">
        <v>21000</v>
      </c>
      <c r="BM12" s="46">
        <v>21000</v>
      </c>
      <c r="BN12" s="47"/>
      <c r="BO12" s="31">
        <f t="shared" si="69"/>
        <v>0</v>
      </c>
      <c r="BP12" s="33">
        <f t="shared" si="26"/>
        <v>-21000</v>
      </c>
      <c r="BQ12" s="36">
        <f t="shared" si="27"/>
        <v>0</v>
      </c>
      <c r="BR12" s="37">
        <f t="shared" si="28"/>
        <v>0</v>
      </c>
      <c r="BS12" s="46">
        <v>22000</v>
      </c>
      <c r="BT12" s="46">
        <v>22000</v>
      </c>
      <c r="BU12" s="28"/>
      <c r="BV12" s="31">
        <f t="shared" si="71"/>
        <v>0</v>
      </c>
      <c r="BW12" s="33">
        <f t="shared" si="29"/>
        <v>-22000</v>
      </c>
      <c r="BX12" s="36">
        <f t="shared" si="30"/>
        <v>0</v>
      </c>
      <c r="BY12" s="37">
        <f t="shared" si="31"/>
        <v>0</v>
      </c>
      <c r="BZ12" s="46">
        <v>21000</v>
      </c>
      <c r="CA12" s="46">
        <v>21000</v>
      </c>
      <c r="CB12" s="28"/>
      <c r="CC12" s="31">
        <f t="shared" si="32"/>
        <v>0</v>
      </c>
      <c r="CD12" s="33">
        <f t="shared" si="33"/>
        <v>-21000</v>
      </c>
      <c r="CE12" s="36">
        <f t="shared" si="34"/>
        <v>0</v>
      </c>
      <c r="CF12" s="37">
        <f t="shared" si="35"/>
        <v>0</v>
      </c>
      <c r="CG12" s="49">
        <v>21000</v>
      </c>
      <c r="CH12" s="49">
        <v>21000</v>
      </c>
      <c r="CI12" s="28"/>
      <c r="CJ12" s="31">
        <f t="shared" si="36"/>
        <v>0</v>
      </c>
      <c r="CK12" s="33">
        <f t="shared" si="37"/>
        <v>-21000</v>
      </c>
      <c r="CL12" s="36">
        <f t="shared" si="38"/>
        <v>0</v>
      </c>
      <c r="CM12" s="37">
        <f t="shared" si="39"/>
        <v>0</v>
      </c>
    </row>
    <row r="13" s="1" customFormat="1" ht="16.5" spans="1:91">
      <c r="A13" s="19"/>
      <c r="B13" s="42" t="s">
        <v>32</v>
      </c>
      <c r="C13" s="43" t="s">
        <v>33</v>
      </c>
      <c r="D13" s="44" t="s">
        <v>122</v>
      </c>
      <c r="E13" s="45">
        <v>397500</v>
      </c>
      <c r="F13" s="29">
        <f t="shared" si="75"/>
        <v>116306</v>
      </c>
      <c r="G13" s="31">
        <f t="shared" si="0"/>
        <v>0.292593710691824</v>
      </c>
      <c r="H13" s="28">
        <v>24000</v>
      </c>
      <c r="I13" s="28">
        <v>24000</v>
      </c>
      <c r="J13" s="28">
        <v>18801.5</v>
      </c>
      <c r="K13" s="31">
        <f t="shared" si="1"/>
        <v>0.0418224958648526</v>
      </c>
      <c r="L13" s="33">
        <f t="shared" si="74"/>
        <v>-5198.5</v>
      </c>
      <c r="M13" s="23">
        <f t="shared" si="3"/>
        <v>0.783395833333333</v>
      </c>
      <c r="N13" s="31">
        <f t="shared" si="4"/>
        <v>0.783395833333333</v>
      </c>
      <c r="O13" s="28">
        <v>84000</v>
      </c>
      <c r="P13" s="28">
        <v>84000</v>
      </c>
      <c r="Q13" s="28">
        <v>72747.45</v>
      </c>
      <c r="R13" s="31">
        <f t="shared" si="55"/>
        <v>0.161821127399599</v>
      </c>
      <c r="S13" s="33">
        <f t="shared" si="5"/>
        <v>-11252.55</v>
      </c>
      <c r="T13" s="23">
        <f t="shared" si="6"/>
        <v>0.866041071428571</v>
      </c>
      <c r="U13" s="31">
        <f t="shared" si="7"/>
        <v>0.866041071428571</v>
      </c>
      <c r="V13" s="28">
        <v>22500</v>
      </c>
      <c r="W13" s="28">
        <v>22500</v>
      </c>
      <c r="X13" s="28">
        <v>24757.05</v>
      </c>
      <c r="Y13" s="31">
        <f t="shared" si="57"/>
        <v>0.0550701604260803</v>
      </c>
      <c r="Z13" s="28">
        <f t="shared" si="8"/>
        <v>2257.05</v>
      </c>
      <c r="AA13" s="23">
        <f t="shared" si="9"/>
        <v>1.10031333333333</v>
      </c>
      <c r="AB13" s="23">
        <f t="shared" si="10"/>
        <v>1.10031333333333</v>
      </c>
      <c r="AC13" s="28">
        <v>15000</v>
      </c>
      <c r="AD13" s="28">
        <v>15000</v>
      </c>
      <c r="AE13" s="28"/>
      <c r="AF13" s="23">
        <f t="shared" si="59"/>
        <v>0</v>
      </c>
      <c r="AG13" s="28">
        <f t="shared" si="11"/>
        <v>-15000</v>
      </c>
      <c r="AH13" s="23">
        <f t="shared" si="12"/>
        <v>0</v>
      </c>
      <c r="AI13" s="31">
        <f t="shared" si="13"/>
        <v>0</v>
      </c>
      <c r="AJ13" s="28">
        <v>22500</v>
      </c>
      <c r="AK13" s="28">
        <v>22500</v>
      </c>
      <c r="AL13" s="28"/>
      <c r="AM13" s="31">
        <f t="shared" si="61"/>
        <v>0</v>
      </c>
      <c r="AN13" s="33">
        <f t="shared" si="14"/>
        <v>-22500</v>
      </c>
      <c r="AO13" s="23">
        <f t="shared" si="15"/>
        <v>0</v>
      </c>
      <c r="AP13" s="31">
        <f t="shared" si="16"/>
        <v>0</v>
      </c>
      <c r="AQ13" s="28">
        <v>19000</v>
      </c>
      <c r="AR13" s="28">
        <v>19000</v>
      </c>
      <c r="AS13" s="28"/>
      <c r="AT13" s="31">
        <f t="shared" si="63"/>
        <v>0</v>
      </c>
      <c r="AU13" s="33">
        <f t="shared" si="17"/>
        <v>-19000</v>
      </c>
      <c r="AV13" s="23">
        <f t="shared" si="18"/>
        <v>0</v>
      </c>
      <c r="AW13" s="31">
        <f t="shared" si="19"/>
        <v>0</v>
      </c>
      <c r="AX13" s="28">
        <v>61500</v>
      </c>
      <c r="AY13" s="28">
        <v>61500</v>
      </c>
      <c r="AZ13" s="28"/>
      <c r="BA13" s="31">
        <f t="shared" si="65"/>
        <v>0</v>
      </c>
      <c r="BB13" s="33">
        <f t="shared" si="20"/>
        <v>-61500</v>
      </c>
      <c r="BC13" s="23">
        <f t="shared" si="21"/>
        <v>0</v>
      </c>
      <c r="BD13" s="31">
        <f t="shared" si="22"/>
        <v>0</v>
      </c>
      <c r="BE13" s="28">
        <v>61500</v>
      </c>
      <c r="BF13" s="28">
        <v>61500</v>
      </c>
      <c r="BG13" s="28"/>
      <c r="BH13" s="31">
        <f t="shared" si="67"/>
        <v>0</v>
      </c>
      <c r="BI13" s="28">
        <f t="shared" si="23"/>
        <v>-61500</v>
      </c>
      <c r="BJ13" s="23">
        <f t="shared" si="24"/>
        <v>0</v>
      </c>
      <c r="BK13" s="23">
        <f t="shared" si="25"/>
        <v>0</v>
      </c>
      <c r="BL13" s="50">
        <v>15000</v>
      </c>
      <c r="BM13" s="50">
        <v>15000</v>
      </c>
      <c r="BN13" s="47"/>
      <c r="BO13" s="31">
        <f t="shared" si="69"/>
        <v>0</v>
      </c>
      <c r="BP13" s="33">
        <f t="shared" si="26"/>
        <v>-15000</v>
      </c>
      <c r="BQ13" s="36">
        <f t="shared" si="27"/>
        <v>0</v>
      </c>
      <c r="BR13" s="37">
        <f t="shared" si="28"/>
        <v>0</v>
      </c>
      <c r="BS13" s="50">
        <v>26000</v>
      </c>
      <c r="BT13" s="50">
        <v>26000</v>
      </c>
      <c r="BU13" s="28"/>
      <c r="BV13" s="31">
        <f t="shared" si="71"/>
        <v>0</v>
      </c>
      <c r="BW13" s="33">
        <f t="shared" si="29"/>
        <v>-26000</v>
      </c>
      <c r="BX13" s="36">
        <f t="shared" si="30"/>
        <v>0</v>
      </c>
      <c r="BY13" s="37">
        <f t="shared" si="31"/>
        <v>0</v>
      </c>
      <c r="BZ13" s="50">
        <v>19000</v>
      </c>
      <c r="CA13" s="50">
        <v>19000</v>
      </c>
      <c r="CB13" s="28"/>
      <c r="CC13" s="31">
        <f t="shared" si="32"/>
        <v>0</v>
      </c>
      <c r="CD13" s="33">
        <f t="shared" si="33"/>
        <v>-19000</v>
      </c>
      <c r="CE13" s="36">
        <f t="shared" si="34"/>
        <v>0</v>
      </c>
      <c r="CF13" s="37">
        <f t="shared" si="35"/>
        <v>0</v>
      </c>
      <c r="CG13" s="48">
        <v>27500</v>
      </c>
      <c r="CH13" s="48">
        <v>27500</v>
      </c>
      <c r="CI13" s="28"/>
      <c r="CJ13" s="31">
        <f t="shared" si="36"/>
        <v>0</v>
      </c>
      <c r="CK13" s="33">
        <f t="shared" si="37"/>
        <v>-27500</v>
      </c>
      <c r="CL13" s="36">
        <f t="shared" si="38"/>
        <v>0</v>
      </c>
      <c r="CM13" s="37">
        <f t="shared" si="39"/>
        <v>0</v>
      </c>
    </row>
    <row r="14" s="1" customFormat="1" ht="16.5" spans="1:91">
      <c r="A14" s="19"/>
      <c r="B14" s="42" t="s">
        <v>34</v>
      </c>
      <c r="C14" s="43" t="s">
        <v>35</v>
      </c>
      <c r="D14" s="44" t="s">
        <v>122</v>
      </c>
      <c r="E14" s="45">
        <v>161500</v>
      </c>
      <c r="F14" s="29">
        <f t="shared" si="75"/>
        <v>43793.26</v>
      </c>
      <c r="G14" s="31">
        <f t="shared" si="0"/>
        <v>0.271165696594427</v>
      </c>
      <c r="H14" s="28">
        <v>14000</v>
      </c>
      <c r="I14" s="28">
        <v>14000</v>
      </c>
      <c r="J14" s="28">
        <v>4564</v>
      </c>
      <c r="K14" s="31">
        <f t="shared" si="1"/>
        <v>0.0101522682300448</v>
      </c>
      <c r="L14" s="33">
        <f t="shared" si="74"/>
        <v>-9436</v>
      </c>
      <c r="M14" s="23">
        <f t="shared" si="3"/>
        <v>0.326</v>
      </c>
      <c r="N14" s="31">
        <f t="shared" si="4"/>
        <v>0.326</v>
      </c>
      <c r="O14" s="28">
        <v>36500</v>
      </c>
      <c r="P14" s="28">
        <v>36500</v>
      </c>
      <c r="Q14" s="28">
        <v>31166.26</v>
      </c>
      <c r="R14" s="31">
        <f t="shared" si="55"/>
        <v>0.0693269568902971</v>
      </c>
      <c r="S14" s="33">
        <f t="shared" si="5"/>
        <v>-5333.74</v>
      </c>
      <c r="T14" s="23">
        <f t="shared" si="6"/>
        <v>0.853870136986301</v>
      </c>
      <c r="U14" s="31">
        <f t="shared" si="7"/>
        <v>0.853870136986301</v>
      </c>
      <c r="V14" s="28">
        <v>5000</v>
      </c>
      <c r="W14" s="28">
        <v>5000</v>
      </c>
      <c r="X14" s="28">
        <v>8063</v>
      </c>
      <c r="Y14" s="31">
        <f t="shared" si="57"/>
        <v>0.0179355255781882</v>
      </c>
      <c r="Z14" s="28">
        <f t="shared" si="8"/>
        <v>3063</v>
      </c>
      <c r="AA14" s="23">
        <f t="shared" si="9"/>
        <v>1.6126</v>
      </c>
      <c r="AB14" s="23">
        <f t="shared" si="10"/>
        <v>1.6126</v>
      </c>
      <c r="AC14" s="28">
        <v>5000</v>
      </c>
      <c r="AD14" s="28">
        <v>5000</v>
      </c>
      <c r="AE14" s="28"/>
      <c r="AF14" s="23">
        <f t="shared" si="59"/>
        <v>0</v>
      </c>
      <c r="AG14" s="28">
        <f t="shared" si="11"/>
        <v>-5000</v>
      </c>
      <c r="AH14" s="23">
        <f t="shared" si="12"/>
        <v>0</v>
      </c>
      <c r="AI14" s="31">
        <f t="shared" si="13"/>
        <v>0</v>
      </c>
      <c r="AJ14" s="28">
        <v>8000</v>
      </c>
      <c r="AK14" s="28">
        <v>8000</v>
      </c>
      <c r="AL14" s="28"/>
      <c r="AM14" s="31">
        <f t="shared" si="61"/>
        <v>0</v>
      </c>
      <c r="AN14" s="33">
        <f t="shared" si="14"/>
        <v>-8000</v>
      </c>
      <c r="AO14" s="23">
        <f t="shared" si="15"/>
        <v>0</v>
      </c>
      <c r="AP14" s="31">
        <f t="shared" si="16"/>
        <v>0</v>
      </c>
      <c r="AQ14" s="28">
        <v>6500</v>
      </c>
      <c r="AR14" s="28">
        <v>6500</v>
      </c>
      <c r="AS14" s="28"/>
      <c r="AT14" s="31">
        <f t="shared" si="63"/>
        <v>0</v>
      </c>
      <c r="AU14" s="33">
        <f t="shared" si="17"/>
        <v>-6500</v>
      </c>
      <c r="AV14" s="23">
        <f t="shared" si="18"/>
        <v>0</v>
      </c>
      <c r="AW14" s="31">
        <f t="shared" si="19"/>
        <v>0</v>
      </c>
      <c r="AX14" s="28">
        <v>27700</v>
      </c>
      <c r="AY14" s="28">
        <v>27700</v>
      </c>
      <c r="AZ14" s="28"/>
      <c r="BA14" s="31">
        <f t="shared" si="65"/>
        <v>0</v>
      </c>
      <c r="BB14" s="33">
        <f t="shared" si="20"/>
        <v>-27700</v>
      </c>
      <c r="BC14" s="23">
        <f t="shared" si="21"/>
        <v>0</v>
      </c>
      <c r="BD14" s="31">
        <f t="shared" si="22"/>
        <v>0</v>
      </c>
      <c r="BE14" s="28">
        <v>27800</v>
      </c>
      <c r="BF14" s="28">
        <v>27800</v>
      </c>
      <c r="BG14" s="28"/>
      <c r="BH14" s="31">
        <f t="shared" si="67"/>
        <v>0</v>
      </c>
      <c r="BI14" s="28">
        <f t="shared" si="23"/>
        <v>-27800</v>
      </c>
      <c r="BJ14" s="23">
        <f t="shared" si="24"/>
        <v>0</v>
      </c>
      <c r="BK14" s="23">
        <f t="shared" si="25"/>
        <v>0</v>
      </c>
      <c r="BL14" s="51">
        <v>5000</v>
      </c>
      <c r="BM14" s="51">
        <v>5000</v>
      </c>
      <c r="BN14" s="47"/>
      <c r="BO14" s="31">
        <f t="shared" si="69"/>
        <v>0</v>
      </c>
      <c r="BP14" s="33">
        <f t="shared" si="26"/>
        <v>-5000</v>
      </c>
      <c r="BQ14" s="36">
        <f t="shared" si="27"/>
        <v>0</v>
      </c>
      <c r="BR14" s="37">
        <f t="shared" si="28"/>
        <v>0</v>
      </c>
      <c r="BS14" s="51">
        <v>11000</v>
      </c>
      <c r="BT14" s="51">
        <v>11000</v>
      </c>
      <c r="BU14" s="28"/>
      <c r="BV14" s="31">
        <f t="shared" si="71"/>
        <v>0</v>
      </c>
      <c r="BW14" s="33">
        <f t="shared" si="29"/>
        <v>-11000</v>
      </c>
      <c r="BX14" s="36">
        <f t="shared" si="30"/>
        <v>0</v>
      </c>
      <c r="BY14" s="37">
        <f t="shared" si="31"/>
        <v>0</v>
      </c>
      <c r="BZ14" s="51">
        <v>5000</v>
      </c>
      <c r="CA14" s="51">
        <v>5000</v>
      </c>
      <c r="CB14" s="28"/>
      <c r="CC14" s="31">
        <f t="shared" si="32"/>
        <v>0</v>
      </c>
      <c r="CD14" s="33">
        <f t="shared" si="33"/>
        <v>-5000</v>
      </c>
      <c r="CE14" s="36">
        <f t="shared" si="34"/>
        <v>0</v>
      </c>
      <c r="CF14" s="37">
        <f t="shared" si="35"/>
        <v>0</v>
      </c>
      <c r="CG14" s="28">
        <v>10000</v>
      </c>
      <c r="CH14" s="28">
        <v>10000</v>
      </c>
      <c r="CI14" s="28"/>
      <c r="CJ14" s="31">
        <f t="shared" si="36"/>
        <v>0</v>
      </c>
      <c r="CK14" s="33">
        <f t="shared" si="37"/>
        <v>-10000</v>
      </c>
      <c r="CL14" s="36">
        <f t="shared" si="38"/>
        <v>0</v>
      </c>
      <c r="CM14" s="37">
        <f t="shared" si="39"/>
        <v>0</v>
      </c>
    </row>
    <row r="15" s="1" customFormat="1" spans="1:91">
      <c r="A15" s="19"/>
      <c r="B15" s="42" t="s">
        <v>128</v>
      </c>
      <c r="C15" s="52" t="s">
        <v>44</v>
      </c>
      <c r="D15" s="44" t="s">
        <v>122</v>
      </c>
      <c r="E15" s="45">
        <v>886000</v>
      </c>
      <c r="F15" s="29">
        <f t="shared" si="75"/>
        <v>190032.8</v>
      </c>
      <c r="G15" s="31">
        <f t="shared" si="0"/>
        <v>0.214483972911964</v>
      </c>
      <c r="H15" s="28">
        <v>71666.67</v>
      </c>
      <c r="I15" s="28">
        <v>71666.67</v>
      </c>
      <c r="J15" s="28">
        <v>64572.73</v>
      </c>
      <c r="K15" s="31">
        <f t="shared" si="1"/>
        <v>0.143637089243265</v>
      </c>
      <c r="L15" s="33">
        <f t="shared" si="74"/>
        <v>-7093.94</v>
      </c>
      <c r="M15" s="23">
        <f t="shared" si="3"/>
        <v>0.901014795301638</v>
      </c>
      <c r="N15" s="31">
        <f t="shared" si="4"/>
        <v>0.901014795301638</v>
      </c>
      <c r="O15" s="28">
        <v>72666.67</v>
      </c>
      <c r="P15" s="28">
        <v>72666.67</v>
      </c>
      <c r="Q15" s="28">
        <v>70980.85</v>
      </c>
      <c r="R15" s="31">
        <f t="shared" si="55"/>
        <v>0.157891461086016</v>
      </c>
      <c r="S15" s="33">
        <f t="shared" si="5"/>
        <v>-1685.81999999999</v>
      </c>
      <c r="T15" s="23">
        <f t="shared" si="6"/>
        <v>0.976800643266026</v>
      </c>
      <c r="U15" s="31">
        <f t="shared" si="7"/>
        <v>0.976800643266026</v>
      </c>
      <c r="V15" s="28">
        <v>71666.67</v>
      </c>
      <c r="W15" s="28">
        <v>71666.67</v>
      </c>
      <c r="X15" s="28">
        <v>54479.22</v>
      </c>
      <c r="Y15" s="31">
        <f t="shared" si="57"/>
        <v>0.121184849781687</v>
      </c>
      <c r="Z15" s="28">
        <f t="shared" si="8"/>
        <v>-17187.45</v>
      </c>
      <c r="AA15" s="23">
        <f t="shared" si="9"/>
        <v>0.760175127433715</v>
      </c>
      <c r="AB15" s="23">
        <f t="shared" si="10"/>
        <v>0.760175127433715</v>
      </c>
      <c r="AC15" s="28">
        <v>71666.67</v>
      </c>
      <c r="AD15" s="28">
        <v>71666.67</v>
      </c>
      <c r="AE15" s="28"/>
      <c r="AF15" s="23">
        <f t="shared" si="59"/>
        <v>0</v>
      </c>
      <c r="AG15" s="28">
        <f t="shared" si="11"/>
        <v>-71666.67</v>
      </c>
      <c r="AH15" s="23">
        <f t="shared" si="12"/>
        <v>0</v>
      </c>
      <c r="AI15" s="31">
        <f t="shared" si="13"/>
        <v>0</v>
      </c>
      <c r="AJ15" s="28">
        <v>72666.67</v>
      </c>
      <c r="AK15" s="28">
        <v>72666.67</v>
      </c>
      <c r="AL15" s="28"/>
      <c r="AM15" s="31">
        <f t="shared" si="61"/>
        <v>0</v>
      </c>
      <c r="AN15" s="33">
        <f t="shared" si="14"/>
        <v>-72666.67</v>
      </c>
      <c r="AO15" s="23">
        <f t="shared" si="15"/>
        <v>0</v>
      </c>
      <c r="AP15" s="31">
        <f t="shared" si="16"/>
        <v>0</v>
      </c>
      <c r="AQ15" s="28">
        <v>73666.67</v>
      </c>
      <c r="AR15" s="28">
        <v>73666.67</v>
      </c>
      <c r="AS15" s="28"/>
      <c r="AT15" s="31">
        <f t="shared" si="63"/>
        <v>0</v>
      </c>
      <c r="AU15" s="33">
        <f t="shared" si="17"/>
        <v>-73666.67</v>
      </c>
      <c r="AV15" s="31">
        <f t="shared" si="18"/>
        <v>0</v>
      </c>
      <c r="AW15" s="31">
        <f t="shared" si="19"/>
        <v>0</v>
      </c>
      <c r="AX15" s="28">
        <v>79666.67</v>
      </c>
      <c r="AY15" s="28">
        <v>79666.67</v>
      </c>
      <c r="AZ15" s="28"/>
      <c r="BA15" s="31">
        <f t="shared" si="65"/>
        <v>0</v>
      </c>
      <c r="BB15" s="33">
        <f t="shared" si="20"/>
        <v>-79666.67</v>
      </c>
      <c r="BC15" s="23">
        <f t="shared" si="21"/>
        <v>0</v>
      </c>
      <c r="BD15" s="31">
        <f t="shared" si="22"/>
        <v>0</v>
      </c>
      <c r="BE15" s="28">
        <v>79666.67</v>
      </c>
      <c r="BF15" s="28">
        <v>79666.67</v>
      </c>
      <c r="BG15" s="28"/>
      <c r="BH15" s="31">
        <f t="shared" si="67"/>
        <v>0</v>
      </c>
      <c r="BI15" s="28">
        <f t="shared" si="23"/>
        <v>-79666.67</v>
      </c>
      <c r="BJ15" s="23">
        <f t="shared" si="24"/>
        <v>0</v>
      </c>
      <c r="BK15" s="23">
        <f t="shared" si="25"/>
        <v>0</v>
      </c>
      <c r="BL15" s="45">
        <v>73666.67</v>
      </c>
      <c r="BM15" s="45">
        <v>73666.67</v>
      </c>
      <c r="BN15" s="29"/>
      <c r="BO15" s="31">
        <f t="shared" si="69"/>
        <v>0</v>
      </c>
      <c r="BP15" s="33">
        <f t="shared" si="26"/>
        <v>-73666.67</v>
      </c>
      <c r="BQ15" s="36">
        <f t="shared" si="27"/>
        <v>0</v>
      </c>
      <c r="BR15" s="37">
        <f t="shared" si="28"/>
        <v>0</v>
      </c>
      <c r="BS15" s="53">
        <v>73666.67</v>
      </c>
      <c r="BT15" s="53">
        <v>73666.67</v>
      </c>
      <c r="BU15" s="28"/>
      <c r="BV15" s="31">
        <f t="shared" si="71"/>
        <v>0</v>
      </c>
      <c r="BW15" s="33">
        <f t="shared" si="29"/>
        <v>-73666.67</v>
      </c>
      <c r="BX15" s="36">
        <f t="shared" si="30"/>
        <v>0</v>
      </c>
      <c r="BY15" s="37">
        <f t="shared" si="31"/>
        <v>0</v>
      </c>
      <c r="BZ15" s="45">
        <v>71666.67</v>
      </c>
      <c r="CA15" s="45">
        <v>71666.67</v>
      </c>
      <c r="CB15" s="28"/>
      <c r="CC15" s="31">
        <f t="shared" si="32"/>
        <v>0</v>
      </c>
      <c r="CD15" s="33">
        <f t="shared" si="33"/>
        <v>-71666.67</v>
      </c>
      <c r="CE15" s="36">
        <f t="shared" si="34"/>
        <v>0</v>
      </c>
      <c r="CF15" s="37">
        <f t="shared" si="35"/>
        <v>0</v>
      </c>
      <c r="CG15" s="28">
        <v>73666.63</v>
      </c>
      <c r="CH15" s="28">
        <v>73666.63</v>
      </c>
      <c r="CI15" s="28"/>
      <c r="CJ15" s="31">
        <f t="shared" si="36"/>
        <v>0</v>
      </c>
      <c r="CK15" s="33">
        <f t="shared" si="37"/>
        <v>-73666.63</v>
      </c>
      <c r="CL15" s="36">
        <f t="shared" si="38"/>
        <v>0</v>
      </c>
      <c r="CM15" s="37">
        <f t="shared" si="39"/>
        <v>0</v>
      </c>
    </row>
    <row r="16" s="1" customFormat="1" ht="16.5" spans="1:91">
      <c r="A16" s="19"/>
      <c r="B16" s="42" t="s">
        <v>129</v>
      </c>
      <c r="C16" s="52" t="s">
        <v>46</v>
      </c>
      <c r="D16" s="44" t="s">
        <v>122</v>
      </c>
      <c r="E16" s="45">
        <v>138000</v>
      </c>
      <c r="F16" s="29">
        <f t="shared" si="75"/>
        <v>19959.29</v>
      </c>
      <c r="G16" s="31">
        <f t="shared" si="0"/>
        <v>0.144632536231884</v>
      </c>
      <c r="H16" s="28">
        <v>11000</v>
      </c>
      <c r="I16" s="28">
        <v>11000</v>
      </c>
      <c r="J16" s="28">
        <v>7659.29</v>
      </c>
      <c r="K16" s="31">
        <f t="shared" si="1"/>
        <v>0.0170375036221954</v>
      </c>
      <c r="L16" s="33">
        <f t="shared" si="74"/>
        <v>-3340.71</v>
      </c>
      <c r="M16" s="23">
        <f t="shared" si="3"/>
        <v>0.696299090909091</v>
      </c>
      <c r="N16" s="31">
        <f t="shared" si="4"/>
        <v>0.696299090909091</v>
      </c>
      <c r="O16" s="28">
        <v>12000</v>
      </c>
      <c r="P16" s="28">
        <v>12000</v>
      </c>
      <c r="Q16" s="28">
        <v>6000</v>
      </c>
      <c r="R16" s="31">
        <f t="shared" si="55"/>
        <v>0.0133465401797258</v>
      </c>
      <c r="S16" s="33">
        <f t="shared" si="5"/>
        <v>-6000</v>
      </c>
      <c r="T16" s="23">
        <f t="shared" si="6"/>
        <v>0.5</v>
      </c>
      <c r="U16" s="31">
        <f t="shared" si="7"/>
        <v>0.5</v>
      </c>
      <c r="V16" s="28">
        <v>11000</v>
      </c>
      <c r="W16" s="28">
        <v>11000</v>
      </c>
      <c r="X16" s="28">
        <v>6300</v>
      </c>
      <c r="Y16" s="31">
        <f t="shared" si="57"/>
        <v>0.0140138671887121</v>
      </c>
      <c r="Z16" s="28">
        <f t="shared" si="8"/>
        <v>-4700</v>
      </c>
      <c r="AA16" s="23">
        <f t="shared" si="9"/>
        <v>0.572727272727273</v>
      </c>
      <c r="AB16" s="23">
        <f t="shared" si="10"/>
        <v>0.572727272727273</v>
      </c>
      <c r="AC16" s="28">
        <v>11000</v>
      </c>
      <c r="AD16" s="28">
        <v>11000</v>
      </c>
      <c r="AE16" s="28"/>
      <c r="AF16" s="23">
        <f t="shared" si="59"/>
        <v>0</v>
      </c>
      <c r="AG16" s="28">
        <f t="shared" si="11"/>
        <v>-11000</v>
      </c>
      <c r="AH16" s="23">
        <f t="shared" si="12"/>
        <v>0</v>
      </c>
      <c r="AI16" s="31">
        <f t="shared" si="13"/>
        <v>0</v>
      </c>
      <c r="AJ16" s="28">
        <v>12000</v>
      </c>
      <c r="AK16" s="28">
        <v>12000</v>
      </c>
      <c r="AL16" s="28"/>
      <c r="AM16" s="31">
        <f t="shared" si="61"/>
        <v>0</v>
      </c>
      <c r="AN16" s="33">
        <f t="shared" si="14"/>
        <v>-12000</v>
      </c>
      <c r="AO16" s="23">
        <f t="shared" si="15"/>
        <v>0</v>
      </c>
      <c r="AP16" s="31">
        <f t="shared" si="16"/>
        <v>0</v>
      </c>
      <c r="AQ16" s="28">
        <v>11000</v>
      </c>
      <c r="AR16" s="28">
        <v>11000</v>
      </c>
      <c r="AS16" s="28"/>
      <c r="AT16" s="31">
        <f t="shared" si="63"/>
        <v>0</v>
      </c>
      <c r="AU16" s="33">
        <f t="shared" si="17"/>
        <v>-11000</v>
      </c>
      <c r="AV16" s="31">
        <f t="shared" si="18"/>
        <v>0</v>
      </c>
      <c r="AW16" s="31">
        <f t="shared" si="19"/>
        <v>0</v>
      </c>
      <c r="AX16" s="28">
        <v>13000</v>
      </c>
      <c r="AY16" s="28">
        <v>13000</v>
      </c>
      <c r="AZ16" s="28"/>
      <c r="BA16" s="31">
        <f t="shared" si="65"/>
        <v>0</v>
      </c>
      <c r="BB16" s="33">
        <f t="shared" si="20"/>
        <v>-13000</v>
      </c>
      <c r="BC16" s="23">
        <f t="shared" si="21"/>
        <v>0</v>
      </c>
      <c r="BD16" s="31">
        <f t="shared" si="22"/>
        <v>0</v>
      </c>
      <c r="BE16" s="28">
        <v>13000</v>
      </c>
      <c r="BF16" s="28">
        <v>13000</v>
      </c>
      <c r="BG16" s="28"/>
      <c r="BH16" s="31">
        <f t="shared" si="67"/>
        <v>0</v>
      </c>
      <c r="BI16" s="28">
        <f t="shared" si="23"/>
        <v>-13000</v>
      </c>
      <c r="BJ16" s="23">
        <f t="shared" si="24"/>
        <v>0</v>
      </c>
      <c r="BK16" s="23">
        <f t="shared" si="25"/>
        <v>0</v>
      </c>
      <c r="BL16" s="51">
        <v>10000</v>
      </c>
      <c r="BM16" s="51">
        <v>10000</v>
      </c>
      <c r="BN16" s="29"/>
      <c r="BO16" s="31">
        <f t="shared" si="69"/>
        <v>0</v>
      </c>
      <c r="BP16" s="33">
        <f t="shared" si="26"/>
        <v>-10000</v>
      </c>
      <c r="BQ16" s="36">
        <f t="shared" si="27"/>
        <v>0</v>
      </c>
      <c r="BR16" s="37">
        <f t="shared" si="28"/>
        <v>0</v>
      </c>
      <c r="BS16" s="51">
        <v>12000</v>
      </c>
      <c r="BT16" s="51">
        <v>12000</v>
      </c>
      <c r="BU16" s="28"/>
      <c r="BV16" s="31">
        <f t="shared" si="71"/>
        <v>0</v>
      </c>
      <c r="BW16" s="33">
        <f t="shared" si="29"/>
        <v>-12000</v>
      </c>
      <c r="BX16" s="36">
        <f t="shared" si="30"/>
        <v>0</v>
      </c>
      <c r="BY16" s="37">
        <f t="shared" si="31"/>
        <v>0</v>
      </c>
      <c r="BZ16" s="51">
        <v>10000</v>
      </c>
      <c r="CA16" s="51">
        <v>10000</v>
      </c>
      <c r="CB16" s="28"/>
      <c r="CC16" s="31">
        <f t="shared" si="32"/>
        <v>0</v>
      </c>
      <c r="CD16" s="33">
        <f t="shared" si="33"/>
        <v>-10000</v>
      </c>
      <c r="CE16" s="36">
        <f t="shared" si="34"/>
        <v>0</v>
      </c>
      <c r="CF16" s="37">
        <f t="shared" si="35"/>
        <v>0</v>
      </c>
      <c r="CG16" s="49">
        <v>12000</v>
      </c>
      <c r="CH16" s="49">
        <v>12000</v>
      </c>
      <c r="CI16" s="28"/>
      <c r="CJ16" s="31">
        <f t="shared" si="36"/>
        <v>0</v>
      </c>
      <c r="CK16" s="33">
        <f t="shared" si="37"/>
        <v>-12000</v>
      </c>
      <c r="CL16" s="36">
        <f t="shared" si="38"/>
        <v>0</v>
      </c>
      <c r="CM16" s="37">
        <f t="shared" si="39"/>
        <v>0</v>
      </c>
    </row>
    <row r="17" s="1" customFormat="1" ht="16.5" spans="1:91">
      <c r="A17" s="19"/>
      <c r="B17" s="42" t="s">
        <v>130</v>
      </c>
      <c r="C17" s="52" t="s">
        <v>48</v>
      </c>
      <c r="D17" s="44" t="s">
        <v>122</v>
      </c>
      <c r="E17" s="45">
        <v>435000</v>
      </c>
      <c r="F17" s="29">
        <f t="shared" si="75"/>
        <v>104659</v>
      </c>
      <c r="G17" s="31">
        <f t="shared" si="0"/>
        <v>0.240595402298851</v>
      </c>
      <c r="H17" s="28">
        <v>36250</v>
      </c>
      <c r="I17" s="28">
        <v>36250</v>
      </c>
      <c r="J17" s="28">
        <v>37376.22</v>
      </c>
      <c r="K17" s="31">
        <f t="shared" si="1"/>
        <v>0.0831405369993788</v>
      </c>
      <c r="L17" s="33">
        <f t="shared" si="74"/>
        <v>1126.22</v>
      </c>
      <c r="M17" s="23">
        <f t="shared" si="3"/>
        <v>1.03106813793103</v>
      </c>
      <c r="N17" s="31">
        <f t="shared" si="4"/>
        <v>1.03106813793103</v>
      </c>
      <c r="O17" s="28">
        <v>36250</v>
      </c>
      <c r="P17" s="28">
        <v>36250</v>
      </c>
      <c r="Q17" s="28">
        <v>34818.25</v>
      </c>
      <c r="R17" s="31">
        <f t="shared" si="55"/>
        <v>0.0774505287687899</v>
      </c>
      <c r="S17" s="33">
        <f t="shared" si="5"/>
        <v>-1431.75</v>
      </c>
      <c r="T17" s="23">
        <f t="shared" si="6"/>
        <v>0.960503448275862</v>
      </c>
      <c r="U17" s="31">
        <f t="shared" si="7"/>
        <v>0.960503448275862</v>
      </c>
      <c r="V17" s="28">
        <v>36250</v>
      </c>
      <c r="W17" s="28">
        <v>36250</v>
      </c>
      <c r="X17" s="28">
        <v>32464.53</v>
      </c>
      <c r="Y17" s="31">
        <f t="shared" si="57"/>
        <v>0.0722148590101525</v>
      </c>
      <c r="Z17" s="28">
        <f t="shared" si="8"/>
        <v>-3785.47</v>
      </c>
      <c r="AA17" s="23">
        <f t="shared" si="9"/>
        <v>0.89557324137931</v>
      </c>
      <c r="AB17" s="23">
        <f t="shared" si="10"/>
        <v>0.89557324137931</v>
      </c>
      <c r="AC17" s="28">
        <v>36250</v>
      </c>
      <c r="AD17" s="28">
        <v>36250</v>
      </c>
      <c r="AE17" s="28"/>
      <c r="AF17" s="23">
        <f t="shared" si="59"/>
        <v>0</v>
      </c>
      <c r="AG17" s="28">
        <f t="shared" si="11"/>
        <v>-36250</v>
      </c>
      <c r="AH17" s="23">
        <f t="shared" si="12"/>
        <v>0</v>
      </c>
      <c r="AI17" s="31">
        <f t="shared" si="13"/>
        <v>0</v>
      </c>
      <c r="AJ17" s="28">
        <v>36250</v>
      </c>
      <c r="AK17" s="28">
        <v>36250</v>
      </c>
      <c r="AL17" s="28"/>
      <c r="AM17" s="31">
        <f t="shared" si="61"/>
        <v>0</v>
      </c>
      <c r="AN17" s="33">
        <f t="shared" si="14"/>
        <v>-36250</v>
      </c>
      <c r="AO17" s="23">
        <f t="shared" si="15"/>
        <v>0</v>
      </c>
      <c r="AP17" s="31">
        <f t="shared" si="16"/>
        <v>0</v>
      </c>
      <c r="AQ17" s="28">
        <v>36250</v>
      </c>
      <c r="AR17" s="28">
        <v>36250</v>
      </c>
      <c r="AS17" s="28"/>
      <c r="AT17" s="31">
        <f t="shared" si="63"/>
        <v>0</v>
      </c>
      <c r="AU17" s="33">
        <f t="shared" si="17"/>
        <v>-36250</v>
      </c>
      <c r="AV17" s="31">
        <f t="shared" si="18"/>
        <v>0</v>
      </c>
      <c r="AW17" s="31">
        <f t="shared" si="19"/>
        <v>0</v>
      </c>
      <c r="AX17" s="28">
        <v>36250</v>
      </c>
      <c r="AY17" s="28">
        <v>36250</v>
      </c>
      <c r="AZ17" s="28"/>
      <c r="BA17" s="31">
        <f t="shared" si="65"/>
        <v>0</v>
      </c>
      <c r="BB17" s="33">
        <f t="shared" si="20"/>
        <v>-36250</v>
      </c>
      <c r="BC17" s="23">
        <f t="shared" si="21"/>
        <v>0</v>
      </c>
      <c r="BD17" s="31">
        <f t="shared" si="22"/>
        <v>0</v>
      </c>
      <c r="BE17" s="28">
        <v>36250</v>
      </c>
      <c r="BF17" s="28">
        <v>36250</v>
      </c>
      <c r="BG17" s="28"/>
      <c r="BH17" s="31">
        <f t="shared" si="67"/>
        <v>0</v>
      </c>
      <c r="BI17" s="28">
        <f t="shared" si="23"/>
        <v>-36250</v>
      </c>
      <c r="BJ17" s="23">
        <f t="shared" si="24"/>
        <v>0</v>
      </c>
      <c r="BK17" s="23">
        <f t="shared" si="25"/>
        <v>0</v>
      </c>
      <c r="BL17" s="51">
        <v>36250</v>
      </c>
      <c r="BM17" s="51">
        <v>36250</v>
      </c>
      <c r="BN17" s="54"/>
      <c r="BO17" s="31">
        <f t="shared" si="69"/>
        <v>0</v>
      </c>
      <c r="BP17" s="33">
        <f t="shared" si="26"/>
        <v>-36250</v>
      </c>
      <c r="BQ17" s="36">
        <f t="shared" si="27"/>
        <v>0</v>
      </c>
      <c r="BR17" s="37">
        <f t="shared" si="28"/>
        <v>0</v>
      </c>
      <c r="BS17" s="51">
        <v>36250</v>
      </c>
      <c r="BT17" s="51">
        <v>36250</v>
      </c>
      <c r="BU17" s="28"/>
      <c r="BV17" s="31">
        <f t="shared" si="71"/>
        <v>0</v>
      </c>
      <c r="BW17" s="33">
        <f t="shared" si="29"/>
        <v>-36250</v>
      </c>
      <c r="BX17" s="36">
        <f t="shared" si="30"/>
        <v>0</v>
      </c>
      <c r="BY17" s="37">
        <f t="shared" si="31"/>
        <v>0</v>
      </c>
      <c r="BZ17" s="51">
        <v>36250</v>
      </c>
      <c r="CA17" s="51">
        <v>36250</v>
      </c>
      <c r="CB17" s="28"/>
      <c r="CC17" s="31">
        <f t="shared" si="32"/>
        <v>0</v>
      </c>
      <c r="CD17" s="33">
        <f t="shared" si="33"/>
        <v>-36250</v>
      </c>
      <c r="CE17" s="36">
        <f t="shared" si="34"/>
        <v>0</v>
      </c>
      <c r="CF17" s="37">
        <f t="shared" si="35"/>
        <v>0</v>
      </c>
      <c r="CG17" s="49">
        <v>36250</v>
      </c>
      <c r="CH17" s="49">
        <v>36250</v>
      </c>
      <c r="CI17" s="28"/>
      <c r="CJ17" s="31">
        <f t="shared" si="36"/>
        <v>0</v>
      </c>
      <c r="CK17" s="33">
        <f t="shared" si="37"/>
        <v>-36250</v>
      </c>
      <c r="CL17" s="36">
        <f t="shared" si="38"/>
        <v>0</v>
      </c>
      <c r="CM17" s="37">
        <f t="shared" si="39"/>
        <v>0</v>
      </c>
    </row>
    <row r="18" s="1" customFormat="1" ht="16.5" spans="1:91">
      <c r="A18" s="19"/>
      <c r="B18" s="42" t="s">
        <v>131</v>
      </c>
      <c r="C18" s="52" t="s">
        <v>50</v>
      </c>
      <c r="D18" s="44" t="s">
        <v>122</v>
      </c>
      <c r="E18" s="45">
        <v>11100</v>
      </c>
      <c r="F18" s="29">
        <f t="shared" si="75"/>
        <v>3957.24</v>
      </c>
      <c r="G18" s="31">
        <f t="shared" si="0"/>
        <v>0.356508108108108</v>
      </c>
      <c r="H18" s="28">
        <v>1000</v>
      </c>
      <c r="I18" s="28">
        <v>1000</v>
      </c>
      <c r="J18" s="28">
        <v>557.03</v>
      </c>
      <c r="K18" s="31">
        <f t="shared" si="1"/>
        <v>0.00123907054605211</v>
      </c>
      <c r="L18" s="33">
        <f t="shared" si="74"/>
        <v>-442.97</v>
      </c>
      <c r="M18" s="23">
        <f t="shared" si="3"/>
        <v>0.55703</v>
      </c>
      <c r="N18" s="31">
        <f t="shared" si="4"/>
        <v>0.55703</v>
      </c>
      <c r="O18" s="28">
        <v>2500</v>
      </c>
      <c r="P18" s="28">
        <v>2500</v>
      </c>
      <c r="Q18" s="28">
        <v>2242.49</v>
      </c>
      <c r="R18" s="31">
        <f t="shared" si="55"/>
        <v>0.0049882471479389</v>
      </c>
      <c r="S18" s="33">
        <f t="shared" si="5"/>
        <v>-257.51</v>
      </c>
      <c r="T18" s="23">
        <f t="shared" si="6"/>
        <v>0.896996</v>
      </c>
      <c r="U18" s="31">
        <f t="shared" si="7"/>
        <v>0.896996</v>
      </c>
      <c r="V18" s="28">
        <v>800</v>
      </c>
      <c r="W18" s="28">
        <v>800</v>
      </c>
      <c r="X18" s="28">
        <v>1157.72</v>
      </c>
      <c r="Y18" s="31">
        <f t="shared" si="57"/>
        <v>0.00257525941614537</v>
      </c>
      <c r="Z18" s="28">
        <f t="shared" si="8"/>
        <v>357.72</v>
      </c>
      <c r="AA18" s="23">
        <f t="shared" si="9"/>
        <v>1.44715</v>
      </c>
      <c r="AB18" s="23">
        <f t="shared" si="10"/>
        <v>1.44715</v>
      </c>
      <c r="AC18" s="28">
        <v>800</v>
      </c>
      <c r="AD18" s="28">
        <v>800</v>
      </c>
      <c r="AE18" s="28"/>
      <c r="AF18" s="23">
        <f t="shared" si="59"/>
        <v>0</v>
      </c>
      <c r="AG18" s="28">
        <f t="shared" si="11"/>
        <v>-800</v>
      </c>
      <c r="AH18" s="23">
        <f t="shared" si="12"/>
        <v>0</v>
      </c>
      <c r="AI18" s="31">
        <f t="shared" si="13"/>
        <v>0</v>
      </c>
      <c r="AJ18" s="28">
        <v>800</v>
      </c>
      <c r="AK18" s="28">
        <v>800</v>
      </c>
      <c r="AL18" s="28"/>
      <c r="AM18" s="31">
        <f t="shared" si="61"/>
        <v>0</v>
      </c>
      <c r="AN18" s="33">
        <f t="shared" si="14"/>
        <v>-800</v>
      </c>
      <c r="AO18" s="23">
        <f t="shared" si="15"/>
        <v>0</v>
      </c>
      <c r="AP18" s="31">
        <f t="shared" si="16"/>
        <v>0</v>
      </c>
      <c r="AQ18" s="28">
        <v>800</v>
      </c>
      <c r="AR18" s="28">
        <v>800</v>
      </c>
      <c r="AS18" s="28"/>
      <c r="AT18" s="31">
        <f t="shared" si="63"/>
        <v>0</v>
      </c>
      <c r="AU18" s="33">
        <f t="shared" si="17"/>
        <v>-800</v>
      </c>
      <c r="AV18" s="23">
        <f t="shared" si="18"/>
        <v>0</v>
      </c>
      <c r="AW18" s="31">
        <f t="shared" si="19"/>
        <v>0</v>
      </c>
      <c r="AX18" s="28">
        <v>800</v>
      </c>
      <c r="AY18" s="28">
        <v>800</v>
      </c>
      <c r="AZ18" s="28"/>
      <c r="BA18" s="31">
        <f t="shared" si="65"/>
        <v>0</v>
      </c>
      <c r="BB18" s="33">
        <f t="shared" si="20"/>
        <v>-800</v>
      </c>
      <c r="BC18" s="23">
        <f t="shared" si="21"/>
        <v>0</v>
      </c>
      <c r="BD18" s="31">
        <f t="shared" si="22"/>
        <v>0</v>
      </c>
      <c r="BE18" s="28">
        <v>1000</v>
      </c>
      <c r="BF18" s="28">
        <v>1000</v>
      </c>
      <c r="BG18" s="28"/>
      <c r="BH18" s="31">
        <f t="shared" si="67"/>
        <v>0</v>
      </c>
      <c r="BI18" s="28">
        <f t="shared" si="23"/>
        <v>-1000</v>
      </c>
      <c r="BJ18" s="23">
        <f t="shared" si="24"/>
        <v>0</v>
      </c>
      <c r="BK18" s="23">
        <f t="shared" si="25"/>
        <v>0</v>
      </c>
      <c r="BL18" s="55">
        <v>500</v>
      </c>
      <c r="BM18" s="55">
        <v>500</v>
      </c>
      <c r="BN18" s="29"/>
      <c r="BO18" s="31">
        <f t="shared" si="69"/>
        <v>0</v>
      </c>
      <c r="BP18" s="33">
        <f t="shared" si="26"/>
        <v>-500</v>
      </c>
      <c r="BQ18" s="36">
        <f t="shared" si="27"/>
        <v>0</v>
      </c>
      <c r="BR18" s="37">
        <f t="shared" si="28"/>
        <v>0</v>
      </c>
      <c r="BS18" s="51">
        <v>800</v>
      </c>
      <c r="BT18" s="51">
        <v>800</v>
      </c>
      <c r="BU18" s="28"/>
      <c r="BV18" s="31">
        <f t="shared" si="71"/>
        <v>0</v>
      </c>
      <c r="BW18" s="33">
        <f t="shared" si="29"/>
        <v>-800</v>
      </c>
      <c r="BX18" s="36">
        <f t="shared" si="30"/>
        <v>0</v>
      </c>
      <c r="BY18" s="37">
        <f t="shared" si="31"/>
        <v>0</v>
      </c>
      <c r="BZ18" s="51">
        <v>500</v>
      </c>
      <c r="CA18" s="51">
        <v>500</v>
      </c>
      <c r="CB18" s="28"/>
      <c r="CC18" s="31">
        <f t="shared" si="32"/>
        <v>0</v>
      </c>
      <c r="CD18" s="33">
        <f t="shared" si="33"/>
        <v>-500</v>
      </c>
      <c r="CE18" s="36">
        <f t="shared" si="34"/>
        <v>0</v>
      </c>
      <c r="CF18" s="37">
        <f t="shared" si="35"/>
        <v>0</v>
      </c>
      <c r="CG18" s="56">
        <v>800</v>
      </c>
      <c r="CH18" s="56">
        <v>800</v>
      </c>
      <c r="CI18" s="28"/>
      <c r="CJ18" s="31">
        <f t="shared" si="36"/>
        <v>0</v>
      </c>
      <c r="CK18" s="33">
        <f t="shared" si="37"/>
        <v>-800</v>
      </c>
      <c r="CL18" s="36">
        <f t="shared" si="38"/>
        <v>0</v>
      </c>
      <c r="CM18" s="37">
        <f t="shared" si="39"/>
        <v>0</v>
      </c>
    </row>
    <row r="19" s="1" customFormat="1" ht="40.5" spans="1:91">
      <c r="A19" s="42" t="s">
        <v>54</v>
      </c>
      <c r="B19" s="42" t="s">
        <v>40</v>
      </c>
      <c r="C19" s="42" t="s">
        <v>132</v>
      </c>
      <c r="D19" s="41" t="s">
        <v>41</v>
      </c>
      <c r="E19" s="28">
        <f t="shared" ref="E19:J19" si="76">E8-E9</f>
        <v>3460135.31553398</v>
      </c>
      <c r="F19" s="29">
        <f t="shared" si="75"/>
        <v>1148656.72</v>
      </c>
      <c r="G19" s="31">
        <f t="shared" si="0"/>
        <v>0.331968728171758</v>
      </c>
      <c r="H19" s="28">
        <f t="shared" si="76"/>
        <v>177614.669805825</v>
      </c>
      <c r="I19" s="28">
        <f t="shared" si="76"/>
        <v>177614.669805825</v>
      </c>
      <c r="J19" s="28">
        <f t="shared" si="76"/>
        <v>136759.47</v>
      </c>
      <c r="K19" s="31">
        <f t="shared" si="1"/>
        <v>0.304210960218835</v>
      </c>
      <c r="L19" s="33">
        <f t="shared" si="2"/>
        <v>-40855.199805825</v>
      </c>
      <c r="M19" s="23">
        <f t="shared" si="3"/>
        <v>0.76997846039131</v>
      </c>
      <c r="N19" s="31">
        <f t="shared" si="4"/>
        <v>0.76997846039131</v>
      </c>
      <c r="O19" s="28">
        <f t="shared" ref="O19:Q19" si="77">O8-O9</f>
        <v>892163.019320388</v>
      </c>
      <c r="P19" s="28">
        <f t="shared" si="77"/>
        <v>892163.019320388</v>
      </c>
      <c r="Q19" s="28">
        <f t="shared" si="77"/>
        <v>790138.53</v>
      </c>
      <c r="R19" s="31">
        <f t="shared" si="55"/>
        <v>1.75760260636575</v>
      </c>
      <c r="S19" s="33">
        <f t="shared" si="5"/>
        <v>-102024.489320388</v>
      </c>
      <c r="T19" s="23">
        <f t="shared" si="6"/>
        <v>0.885643669249925</v>
      </c>
      <c r="U19" s="31">
        <f t="shared" si="7"/>
        <v>0.885643669249925</v>
      </c>
      <c r="V19" s="28">
        <f t="shared" ref="V19:X19" si="78">V8-V9</f>
        <v>170531.461067961</v>
      </c>
      <c r="W19" s="28">
        <f t="shared" si="78"/>
        <v>170531.461067961</v>
      </c>
      <c r="X19" s="28">
        <f t="shared" si="78"/>
        <v>221758.72</v>
      </c>
      <c r="Y19" s="31">
        <f t="shared" si="57"/>
        <v>0.493285277780762</v>
      </c>
      <c r="Z19" s="33">
        <f t="shared" si="8"/>
        <v>51227.2589320391</v>
      </c>
      <c r="AA19" s="23">
        <f t="shared" si="9"/>
        <v>1.30039770146357</v>
      </c>
      <c r="AB19" s="31">
        <f t="shared" si="10"/>
        <v>1.30039770146357</v>
      </c>
      <c r="AC19" s="28">
        <f t="shared" ref="AC19:AE19" si="79">AC8-AC9</f>
        <v>79115.4173786408</v>
      </c>
      <c r="AD19" s="28">
        <f t="shared" si="79"/>
        <v>79115.417378641</v>
      </c>
      <c r="AE19" s="28">
        <f t="shared" si="79"/>
        <v>0</v>
      </c>
      <c r="AF19" s="31">
        <f t="shared" si="59"/>
        <v>0</v>
      </c>
      <c r="AG19" s="28">
        <f t="shared" si="11"/>
        <v>-79115.417378641</v>
      </c>
      <c r="AH19" s="23">
        <f t="shared" si="12"/>
        <v>0</v>
      </c>
      <c r="AI19" s="23">
        <f t="shared" si="13"/>
        <v>0</v>
      </c>
      <c r="AJ19" s="28">
        <f t="shared" ref="AJ19:AL19" si="80">AJ8-AJ9</f>
        <v>175531.461067961</v>
      </c>
      <c r="AK19" s="28">
        <f t="shared" si="80"/>
        <v>175531.461067961</v>
      </c>
      <c r="AL19" s="28">
        <f t="shared" si="80"/>
        <v>0</v>
      </c>
      <c r="AM19" s="23">
        <f t="shared" si="61"/>
        <v>0</v>
      </c>
      <c r="AN19" s="28">
        <f t="shared" si="14"/>
        <v>-175531.461067961</v>
      </c>
      <c r="AO19" s="23">
        <f t="shared" si="15"/>
        <v>0</v>
      </c>
      <c r="AP19" s="23">
        <f t="shared" si="16"/>
        <v>0</v>
      </c>
      <c r="AQ19" s="28">
        <f>AQ8-AQ9</f>
        <v>129370.640679612</v>
      </c>
      <c r="AR19" s="28">
        <f t="shared" ref="AQ19:AS19" si="81">AR8-AR9</f>
        <v>129370.640679612</v>
      </c>
      <c r="AS19" s="28">
        <f t="shared" si="81"/>
        <v>0</v>
      </c>
      <c r="AT19" s="23">
        <f t="shared" si="63"/>
        <v>0</v>
      </c>
      <c r="AU19" s="28">
        <f t="shared" si="17"/>
        <v>-129370.640679612</v>
      </c>
      <c r="AV19" s="23">
        <f t="shared" si="18"/>
        <v>0</v>
      </c>
      <c r="AW19" s="23">
        <f t="shared" si="19"/>
        <v>0</v>
      </c>
      <c r="AX19" s="28">
        <f t="shared" ref="AX19:AZ19" si="82">AX8-AX9</f>
        <v>606427.388252427</v>
      </c>
      <c r="AY19" s="28">
        <f t="shared" si="82"/>
        <v>606427.388252427</v>
      </c>
      <c r="AZ19" s="28">
        <f t="shared" si="82"/>
        <v>0</v>
      </c>
      <c r="BA19" s="23">
        <f t="shared" si="65"/>
        <v>0</v>
      </c>
      <c r="BB19" s="28">
        <f t="shared" si="20"/>
        <v>-606427.388252427</v>
      </c>
      <c r="BC19" s="23">
        <f t="shared" si="21"/>
        <v>0</v>
      </c>
      <c r="BD19" s="23">
        <f t="shared" si="22"/>
        <v>0</v>
      </c>
      <c r="BE19" s="28">
        <f t="shared" ref="BE19:BG19" si="83">BE8-BE9</f>
        <v>601127.388252427</v>
      </c>
      <c r="BF19" s="28">
        <f t="shared" si="83"/>
        <v>601127.388252427</v>
      </c>
      <c r="BG19" s="28">
        <f t="shared" si="83"/>
        <v>0</v>
      </c>
      <c r="BH19" s="31">
        <f t="shared" si="67"/>
        <v>0</v>
      </c>
      <c r="BI19" s="28">
        <f t="shared" si="23"/>
        <v>-601127.388252427</v>
      </c>
      <c r="BJ19" s="23">
        <f t="shared" si="24"/>
        <v>0</v>
      </c>
      <c r="BK19" s="23">
        <f t="shared" si="25"/>
        <v>0</v>
      </c>
      <c r="BL19" s="28">
        <f t="shared" ref="BL19:BN19" si="84">BL8-BL9</f>
        <v>76415.4173786408</v>
      </c>
      <c r="BM19" s="28">
        <f t="shared" si="84"/>
        <v>76415.4173786408</v>
      </c>
      <c r="BN19" s="28">
        <f t="shared" si="84"/>
        <v>0</v>
      </c>
      <c r="BO19" s="31">
        <f t="shared" si="69"/>
        <v>0</v>
      </c>
      <c r="BP19" s="33">
        <f t="shared" si="26"/>
        <v>-76415.4173786408</v>
      </c>
      <c r="BQ19" s="36">
        <f t="shared" si="27"/>
        <v>0</v>
      </c>
      <c r="BR19" s="37">
        <f t="shared" si="28"/>
        <v>0</v>
      </c>
      <c r="BS19" s="28">
        <f t="shared" ref="BS19:BU19" si="85">BS8-BS9</f>
        <v>201192.281456311</v>
      </c>
      <c r="BT19" s="28">
        <f t="shared" si="85"/>
        <v>201192.281456311</v>
      </c>
      <c r="BU19" s="28">
        <f t="shared" si="85"/>
        <v>0</v>
      </c>
      <c r="BV19" s="31">
        <f t="shared" si="71"/>
        <v>0</v>
      </c>
      <c r="BW19" s="33">
        <f t="shared" si="29"/>
        <v>-201192.281456311</v>
      </c>
      <c r="BX19" s="36">
        <f t="shared" si="30"/>
        <v>0</v>
      </c>
      <c r="BY19" s="37">
        <f t="shared" si="31"/>
        <v>0</v>
      </c>
      <c r="BZ19" s="28">
        <f t="shared" ref="BZ19:CB19" si="86">BZ8-BZ9</f>
        <v>127170.640679612</v>
      </c>
      <c r="CA19" s="28">
        <f t="shared" si="86"/>
        <v>127170.640679612</v>
      </c>
      <c r="CB19" s="28">
        <f t="shared" si="86"/>
        <v>0</v>
      </c>
      <c r="CC19" s="31">
        <f t="shared" si="32"/>
        <v>0</v>
      </c>
      <c r="CD19" s="33">
        <f t="shared" si="33"/>
        <v>-127170.640679612</v>
      </c>
      <c r="CE19" s="23">
        <f t="shared" si="34"/>
        <v>0</v>
      </c>
      <c r="CF19" s="31">
        <f t="shared" si="35"/>
        <v>0</v>
      </c>
      <c r="CG19" s="28">
        <f t="shared" ref="CG19:CI19" si="87">CG8-CG9</f>
        <v>223475.530194175</v>
      </c>
      <c r="CH19" s="28">
        <f t="shared" si="87"/>
        <v>223475.530194175</v>
      </c>
      <c r="CI19" s="28">
        <f t="shared" si="87"/>
        <v>0</v>
      </c>
      <c r="CJ19" s="31">
        <f t="shared" si="36"/>
        <v>0</v>
      </c>
      <c r="CK19" s="33">
        <f t="shared" si="37"/>
        <v>-223475.530194175</v>
      </c>
      <c r="CL19" s="23">
        <f t="shared" si="38"/>
        <v>0</v>
      </c>
      <c r="CM19" s="31">
        <f t="shared" si="39"/>
        <v>0</v>
      </c>
    </row>
    <row r="20" s="1" customFormat="1" ht="27" spans="1:91">
      <c r="A20" s="57" t="s">
        <v>58</v>
      </c>
      <c r="B20" s="40" t="s">
        <v>52</v>
      </c>
      <c r="C20" s="40" t="s">
        <v>64</v>
      </c>
      <c r="D20" s="58" t="s">
        <v>133</v>
      </c>
      <c r="E20" s="59">
        <v>33472</v>
      </c>
      <c r="F20" s="29">
        <f t="shared" si="75"/>
        <v>23499</v>
      </c>
      <c r="G20" s="60">
        <f t="shared" ref="E20:G20" si="88">SUM(G21:G23)</f>
        <v>0.702049474187381</v>
      </c>
      <c r="H20" s="59">
        <v>2656</v>
      </c>
      <c r="I20" s="59">
        <v>2656</v>
      </c>
      <c r="J20" s="59">
        <v>2417.5</v>
      </c>
      <c r="K20" s="61" t="s">
        <v>62</v>
      </c>
      <c r="L20" s="33">
        <f t="shared" si="2"/>
        <v>-238.5</v>
      </c>
      <c r="M20" s="61">
        <f t="shared" si="3"/>
        <v>0.910203313253012</v>
      </c>
      <c r="N20" s="31">
        <f t="shared" si="4"/>
        <v>0.910203313253012</v>
      </c>
      <c r="O20" s="59">
        <v>3509</v>
      </c>
      <c r="P20" s="59">
        <v>3509</v>
      </c>
      <c r="Q20" s="59">
        <v>3024.5</v>
      </c>
      <c r="R20" s="61" t="s">
        <v>62</v>
      </c>
      <c r="S20" s="33">
        <f t="shared" si="5"/>
        <v>-484.5</v>
      </c>
      <c r="T20" s="61">
        <f t="shared" si="6"/>
        <v>0.861926474779139</v>
      </c>
      <c r="U20" s="31">
        <f t="shared" si="7"/>
        <v>0.861926474779139</v>
      </c>
      <c r="V20" s="59">
        <f t="shared" ref="V20:X20" si="89">SUM(V21:V23)</f>
        <v>2848</v>
      </c>
      <c r="W20" s="59">
        <f t="shared" si="89"/>
        <v>2848</v>
      </c>
      <c r="X20" s="59">
        <v>2449</v>
      </c>
      <c r="Y20" s="61" t="s">
        <v>62</v>
      </c>
      <c r="Z20" s="33">
        <f t="shared" si="8"/>
        <v>-399</v>
      </c>
      <c r="AA20" s="61">
        <f t="shared" si="9"/>
        <v>0.859901685393258</v>
      </c>
      <c r="AB20" s="31">
        <f t="shared" si="10"/>
        <v>0.859901685393258</v>
      </c>
      <c r="AC20" s="59">
        <f t="shared" ref="AC20:AE20" si="90">SUM(AC21:AC23)</f>
        <v>2848</v>
      </c>
      <c r="AD20" s="59">
        <f t="shared" si="90"/>
        <v>2848</v>
      </c>
      <c r="AE20" s="59"/>
      <c r="AF20" s="61" t="s">
        <v>62</v>
      </c>
      <c r="AG20" s="28">
        <f t="shared" si="11"/>
        <v>-2848</v>
      </c>
      <c r="AH20" s="61">
        <f t="shared" si="12"/>
        <v>0</v>
      </c>
      <c r="AI20" s="23">
        <f t="shared" si="13"/>
        <v>0</v>
      </c>
      <c r="AJ20" s="59">
        <f t="shared" ref="AJ20:AL20" si="91">SUM(AJ21:AJ23)</f>
        <v>2848</v>
      </c>
      <c r="AK20" s="59">
        <f t="shared" si="91"/>
        <v>2848</v>
      </c>
      <c r="AL20" s="59"/>
      <c r="AM20" s="61" t="s">
        <v>62</v>
      </c>
      <c r="AN20" s="28">
        <f t="shared" si="14"/>
        <v>-2848</v>
      </c>
      <c r="AO20" s="61">
        <f t="shared" si="15"/>
        <v>0</v>
      </c>
      <c r="AP20" s="23">
        <f t="shared" si="16"/>
        <v>0</v>
      </c>
      <c r="AQ20" s="59">
        <f t="shared" ref="AQ20:AS20" si="92">SUM(AQ21:AQ23)</f>
        <v>2848</v>
      </c>
      <c r="AR20" s="59">
        <f t="shared" si="92"/>
        <v>2848</v>
      </c>
      <c r="AS20" s="59">
        <f t="shared" si="92"/>
        <v>2327</v>
      </c>
      <c r="AT20" s="61" t="s">
        <v>62</v>
      </c>
      <c r="AU20" s="28">
        <f t="shared" si="17"/>
        <v>-521</v>
      </c>
      <c r="AV20" s="61">
        <f t="shared" si="18"/>
        <v>0.817064606741573</v>
      </c>
      <c r="AW20" s="23">
        <f t="shared" si="19"/>
        <v>0.817064606741573</v>
      </c>
      <c r="AX20" s="59">
        <f t="shared" ref="AX20:AZ20" si="93">SUM(AX21:AX23)</f>
        <v>2848</v>
      </c>
      <c r="AY20" s="59">
        <f t="shared" si="93"/>
        <v>2848</v>
      </c>
      <c r="AZ20" s="59">
        <f t="shared" si="93"/>
        <v>3283.5</v>
      </c>
      <c r="BA20" s="61" t="s">
        <v>62</v>
      </c>
      <c r="BB20" s="28">
        <f t="shared" si="20"/>
        <v>435.5</v>
      </c>
      <c r="BC20" s="61">
        <f t="shared" si="21"/>
        <v>1.1529143258427</v>
      </c>
      <c r="BD20" s="23">
        <f t="shared" si="22"/>
        <v>1.1529143258427</v>
      </c>
      <c r="BE20" s="59">
        <v>3328</v>
      </c>
      <c r="BF20" s="59">
        <v>3328</v>
      </c>
      <c r="BG20" s="59"/>
      <c r="BH20" s="62"/>
      <c r="BI20" s="28">
        <f t="shared" si="23"/>
        <v>-3328</v>
      </c>
      <c r="BJ20" s="61">
        <f t="shared" si="24"/>
        <v>0</v>
      </c>
      <c r="BK20" s="23">
        <f t="shared" si="25"/>
        <v>0</v>
      </c>
      <c r="BL20" s="59">
        <f>SUM(BL21:BL23)</f>
        <v>2848</v>
      </c>
      <c r="BM20" s="59">
        <f>SUM(BM21:BM23)</f>
        <v>2848</v>
      </c>
      <c r="BN20" s="29">
        <v>2406.5</v>
      </c>
      <c r="BO20" s="61" t="s">
        <v>62</v>
      </c>
      <c r="BP20" s="33">
        <f t="shared" si="26"/>
        <v>-441.5</v>
      </c>
      <c r="BQ20" s="63">
        <f t="shared" si="27"/>
        <v>0.84497893258427</v>
      </c>
      <c r="BR20" s="37">
        <f t="shared" si="28"/>
        <v>0.84497893258427</v>
      </c>
      <c r="BS20" s="59">
        <v>2848</v>
      </c>
      <c r="BT20" s="59">
        <v>2848</v>
      </c>
      <c r="BU20" s="59">
        <v>2551.5</v>
      </c>
      <c r="BV20" s="61" t="s">
        <v>62</v>
      </c>
      <c r="BW20" s="33">
        <f t="shared" si="29"/>
        <v>-296.5</v>
      </c>
      <c r="BX20" s="63">
        <f t="shared" si="30"/>
        <v>0.895891853932584</v>
      </c>
      <c r="BY20" s="37">
        <f t="shared" si="31"/>
        <v>0.895891853932584</v>
      </c>
      <c r="BZ20" s="59">
        <v>2848</v>
      </c>
      <c r="CA20" s="59">
        <v>2848</v>
      </c>
      <c r="CB20" s="59">
        <v>2543</v>
      </c>
      <c r="CC20" s="31">
        <f t="shared" si="32"/>
        <v>0.00565670861284047</v>
      </c>
      <c r="CD20" s="33">
        <f t="shared" si="33"/>
        <v>-305</v>
      </c>
      <c r="CE20" s="63">
        <f t="shared" si="34"/>
        <v>0.892907303370786</v>
      </c>
      <c r="CF20" s="37">
        <f t="shared" si="35"/>
        <v>0.892907303370786</v>
      </c>
      <c r="CG20" s="59">
        <v>2848</v>
      </c>
      <c r="CH20" s="59">
        <v>2848</v>
      </c>
      <c r="CI20" s="59">
        <v>2496.5</v>
      </c>
      <c r="CJ20" s="61" t="s">
        <v>62</v>
      </c>
      <c r="CK20" s="33">
        <f t="shared" si="37"/>
        <v>-351.5</v>
      </c>
      <c r="CL20" s="63">
        <f t="shared" si="38"/>
        <v>0.876580056179775</v>
      </c>
      <c r="CM20" s="37">
        <f t="shared" si="39"/>
        <v>0.876580056179775</v>
      </c>
    </row>
    <row r="21" s="1" customFormat="1" ht="35" customHeight="1" spans="1:91">
      <c r="A21" s="64"/>
      <c r="B21" s="40" t="s">
        <v>134</v>
      </c>
      <c r="C21" s="40" t="s">
        <v>60</v>
      </c>
      <c r="D21" s="65" t="s">
        <v>135</v>
      </c>
      <c r="E21" s="59">
        <v>33472</v>
      </c>
      <c r="F21" s="29">
        <f t="shared" si="75"/>
        <v>23499</v>
      </c>
      <c r="G21" s="31">
        <f t="shared" ref="G21:G26" si="94">F21/E21</f>
        <v>0.702049474187381</v>
      </c>
      <c r="H21" s="59">
        <v>2656</v>
      </c>
      <c r="I21" s="59">
        <v>2656</v>
      </c>
      <c r="J21" s="59">
        <v>2417.5</v>
      </c>
      <c r="K21" s="61" t="s">
        <v>62</v>
      </c>
      <c r="L21" s="33">
        <f t="shared" si="2"/>
        <v>-238.5</v>
      </c>
      <c r="M21" s="61">
        <f t="shared" si="3"/>
        <v>0.910203313253012</v>
      </c>
      <c r="N21" s="31">
        <f t="shared" si="4"/>
        <v>0.910203313253012</v>
      </c>
      <c r="O21" s="59">
        <v>3509</v>
      </c>
      <c r="P21" s="59">
        <v>3509</v>
      </c>
      <c r="Q21" s="59">
        <v>3024.5</v>
      </c>
      <c r="R21" s="61" t="s">
        <v>62</v>
      </c>
      <c r="S21" s="33">
        <f t="shared" si="5"/>
        <v>-484.5</v>
      </c>
      <c r="T21" s="61">
        <f t="shared" si="6"/>
        <v>0.861926474779139</v>
      </c>
      <c r="U21" s="31">
        <f t="shared" si="7"/>
        <v>0.861926474779139</v>
      </c>
      <c r="V21" s="59">
        <v>2848</v>
      </c>
      <c r="W21" s="59">
        <v>2848</v>
      </c>
      <c r="X21" s="59">
        <v>2449</v>
      </c>
      <c r="Y21" s="61" t="s">
        <v>62</v>
      </c>
      <c r="Z21" s="33">
        <f t="shared" si="8"/>
        <v>-399</v>
      </c>
      <c r="AA21" s="61">
        <f t="shared" si="9"/>
        <v>0.859901685393258</v>
      </c>
      <c r="AB21" s="31">
        <f t="shared" si="10"/>
        <v>0.859901685393258</v>
      </c>
      <c r="AC21" s="59">
        <v>2848</v>
      </c>
      <c r="AD21" s="59">
        <v>2848</v>
      </c>
      <c r="AE21" s="59"/>
      <c r="AF21" s="61" t="s">
        <v>62</v>
      </c>
      <c r="AG21" s="28">
        <f t="shared" si="11"/>
        <v>-2848</v>
      </c>
      <c r="AH21" s="61">
        <f t="shared" si="12"/>
        <v>0</v>
      </c>
      <c r="AI21" s="23">
        <f t="shared" si="13"/>
        <v>0</v>
      </c>
      <c r="AJ21" s="59">
        <v>2848</v>
      </c>
      <c r="AK21" s="59">
        <v>2848</v>
      </c>
      <c r="AL21" s="59"/>
      <c r="AM21" s="61" t="s">
        <v>62</v>
      </c>
      <c r="AN21" s="28">
        <f t="shared" si="14"/>
        <v>-2848</v>
      </c>
      <c r="AO21" s="61">
        <f t="shared" si="15"/>
        <v>0</v>
      </c>
      <c r="AP21" s="23">
        <f t="shared" si="16"/>
        <v>0</v>
      </c>
      <c r="AQ21" s="59">
        <v>2848</v>
      </c>
      <c r="AR21" s="59">
        <v>2848</v>
      </c>
      <c r="AS21" s="59">
        <v>2327</v>
      </c>
      <c r="AT21" s="61" t="s">
        <v>62</v>
      </c>
      <c r="AU21" s="28">
        <f t="shared" si="17"/>
        <v>-521</v>
      </c>
      <c r="AV21" s="61">
        <f t="shared" si="18"/>
        <v>0.817064606741573</v>
      </c>
      <c r="AW21" s="23">
        <f t="shared" si="19"/>
        <v>0.817064606741573</v>
      </c>
      <c r="AX21" s="59">
        <v>2848</v>
      </c>
      <c r="AY21" s="59">
        <v>2848</v>
      </c>
      <c r="AZ21" s="59">
        <v>3283.5</v>
      </c>
      <c r="BA21" s="61" t="s">
        <v>62</v>
      </c>
      <c r="BB21" s="28">
        <f t="shared" si="20"/>
        <v>435.5</v>
      </c>
      <c r="BC21" s="61">
        <f t="shared" si="21"/>
        <v>1.1529143258427</v>
      </c>
      <c r="BD21" s="23">
        <f t="shared" si="22"/>
        <v>1.1529143258427</v>
      </c>
      <c r="BE21" s="59">
        <v>3328</v>
      </c>
      <c r="BF21" s="59">
        <v>3328</v>
      </c>
      <c r="BG21" s="59"/>
      <c r="BH21" s="62"/>
      <c r="BI21" s="28">
        <f t="shared" si="23"/>
        <v>-3328</v>
      </c>
      <c r="BJ21" s="61">
        <f t="shared" si="24"/>
        <v>0</v>
      </c>
      <c r="BK21" s="23">
        <f t="shared" si="25"/>
        <v>0</v>
      </c>
      <c r="BL21" s="59">
        <v>2848</v>
      </c>
      <c r="BM21" s="59">
        <v>2848</v>
      </c>
      <c r="BN21" s="29">
        <v>2406.5</v>
      </c>
      <c r="BO21" s="61" t="s">
        <v>62</v>
      </c>
      <c r="BP21" s="33">
        <f t="shared" si="26"/>
        <v>-441.5</v>
      </c>
      <c r="BQ21" s="63">
        <f t="shared" si="27"/>
        <v>0.84497893258427</v>
      </c>
      <c r="BR21" s="37">
        <f t="shared" si="28"/>
        <v>0.84497893258427</v>
      </c>
      <c r="BS21" s="59">
        <f t="shared" ref="BS21:BU21" si="95">BS20</f>
        <v>2848</v>
      </c>
      <c r="BT21" s="59">
        <f t="shared" si="95"/>
        <v>2848</v>
      </c>
      <c r="BU21" s="59">
        <f t="shared" si="95"/>
        <v>2551.5</v>
      </c>
      <c r="BV21" s="61" t="s">
        <v>62</v>
      </c>
      <c r="BW21" s="33">
        <f t="shared" si="29"/>
        <v>-296.5</v>
      </c>
      <c r="BX21" s="63">
        <f t="shared" si="30"/>
        <v>0.895891853932584</v>
      </c>
      <c r="BY21" s="37">
        <f t="shared" si="31"/>
        <v>0.895891853932584</v>
      </c>
      <c r="BZ21" s="59">
        <v>2848</v>
      </c>
      <c r="CA21" s="59">
        <v>2848</v>
      </c>
      <c r="CB21" s="59">
        <v>2543</v>
      </c>
      <c r="CC21" s="31">
        <f t="shared" si="32"/>
        <v>0.00565670861284047</v>
      </c>
      <c r="CD21" s="33">
        <f t="shared" si="33"/>
        <v>-305</v>
      </c>
      <c r="CE21" s="63">
        <f t="shared" si="34"/>
        <v>0.892907303370786</v>
      </c>
      <c r="CF21" s="37">
        <f t="shared" si="35"/>
        <v>0.892907303370786</v>
      </c>
      <c r="CG21" s="59">
        <v>2848</v>
      </c>
      <c r="CH21" s="59">
        <v>2848</v>
      </c>
      <c r="CI21" s="59">
        <v>2496.5</v>
      </c>
      <c r="CJ21" s="61" t="s">
        <v>62</v>
      </c>
      <c r="CK21" s="33">
        <f t="shared" si="37"/>
        <v>-351.5</v>
      </c>
      <c r="CL21" s="63">
        <f t="shared" si="38"/>
        <v>0.876580056179775</v>
      </c>
      <c r="CM21" s="37">
        <f t="shared" si="39"/>
        <v>0.876580056179775</v>
      </c>
    </row>
    <row r="22" s="1" customFormat="1" hidden="1" spans="1:91">
      <c r="A22" s="64"/>
      <c r="B22" s="40" t="s">
        <v>43</v>
      </c>
      <c r="C22" s="40" t="s">
        <v>136</v>
      </c>
      <c r="D22" s="65" t="s">
        <v>122</v>
      </c>
      <c r="E22" s="59">
        <v>0</v>
      </c>
      <c r="F22" s="33">
        <v>0</v>
      </c>
      <c r="G22" s="37">
        <v>0</v>
      </c>
      <c r="H22" s="59"/>
      <c r="I22" s="59"/>
      <c r="J22" s="59"/>
      <c r="K22" s="61" t="s">
        <v>62</v>
      </c>
      <c r="L22" s="33">
        <f t="shared" si="2"/>
        <v>0</v>
      </c>
      <c r="M22" s="63" t="e">
        <f t="shared" si="3"/>
        <v>#DIV/0!</v>
      </c>
      <c r="N22" s="31" t="e">
        <f t="shared" si="4"/>
        <v>#DIV/0!</v>
      </c>
      <c r="O22" s="59"/>
      <c r="P22" s="59"/>
      <c r="Q22" s="59"/>
      <c r="R22" s="61" t="s">
        <v>62</v>
      </c>
      <c r="S22" s="33">
        <f t="shared" si="5"/>
        <v>0</v>
      </c>
      <c r="T22" s="61" t="e">
        <f t="shared" si="6"/>
        <v>#DIV/0!</v>
      </c>
      <c r="U22" s="31" t="e">
        <f t="shared" si="7"/>
        <v>#DIV/0!</v>
      </c>
      <c r="V22" s="59"/>
      <c r="W22" s="59"/>
      <c r="X22" s="59"/>
      <c r="Y22" s="61" t="s">
        <v>62</v>
      </c>
      <c r="Z22" s="33">
        <f t="shared" si="8"/>
        <v>0</v>
      </c>
      <c r="AA22" s="61" t="e">
        <f t="shared" si="9"/>
        <v>#DIV/0!</v>
      </c>
      <c r="AB22" s="31" t="e">
        <f t="shared" si="10"/>
        <v>#DIV/0!</v>
      </c>
      <c r="AC22" s="59"/>
      <c r="AD22" s="59"/>
      <c r="AE22" s="59"/>
      <c r="AF22" s="61" t="s">
        <v>62</v>
      </c>
      <c r="AG22" s="28">
        <f t="shared" si="11"/>
        <v>0</v>
      </c>
      <c r="AH22" s="61" t="e">
        <f t="shared" si="12"/>
        <v>#DIV/0!</v>
      </c>
      <c r="AI22" s="23" t="e">
        <f t="shared" si="13"/>
        <v>#DIV/0!</v>
      </c>
      <c r="AJ22" s="59"/>
      <c r="AK22" s="59"/>
      <c r="AL22" s="59"/>
      <c r="AM22" s="61" t="s">
        <v>62</v>
      </c>
      <c r="AN22" s="28">
        <f t="shared" si="14"/>
        <v>0</v>
      </c>
      <c r="AO22" s="61" t="e">
        <f t="shared" si="15"/>
        <v>#DIV/0!</v>
      </c>
      <c r="AP22" s="23" t="e">
        <f t="shared" si="16"/>
        <v>#DIV/0!</v>
      </c>
      <c r="AQ22" s="59"/>
      <c r="AR22" s="59"/>
      <c r="AS22" s="59"/>
      <c r="AT22" s="61" t="s">
        <v>62</v>
      </c>
      <c r="AU22" s="28">
        <f t="shared" si="17"/>
        <v>0</v>
      </c>
      <c r="AV22" s="61" t="e">
        <f t="shared" si="18"/>
        <v>#DIV/0!</v>
      </c>
      <c r="AW22" s="23" t="e">
        <f t="shared" si="19"/>
        <v>#DIV/0!</v>
      </c>
      <c r="AX22" s="59"/>
      <c r="AY22" s="59"/>
      <c r="AZ22" s="59"/>
      <c r="BA22" s="61" t="s">
        <v>62</v>
      </c>
      <c r="BB22" s="28">
        <f t="shared" si="20"/>
        <v>0</v>
      </c>
      <c r="BC22" s="61" t="e">
        <f t="shared" si="21"/>
        <v>#DIV/0!</v>
      </c>
      <c r="BD22" s="23" t="e">
        <f t="shared" si="22"/>
        <v>#DIV/0!</v>
      </c>
      <c r="BE22" s="59"/>
      <c r="BF22" s="59"/>
      <c r="BG22" s="59"/>
      <c r="BH22" s="61" t="s">
        <v>62</v>
      </c>
      <c r="BI22" s="28">
        <f t="shared" si="23"/>
        <v>0</v>
      </c>
      <c r="BJ22" s="61" t="e">
        <f t="shared" si="24"/>
        <v>#DIV/0!</v>
      </c>
      <c r="BK22" s="23" t="e">
        <f t="shared" si="25"/>
        <v>#DIV/0!</v>
      </c>
      <c r="BL22" s="59"/>
      <c r="BM22" s="59"/>
      <c r="BN22" s="59"/>
      <c r="BO22" s="61" t="s">
        <v>62</v>
      </c>
      <c r="BP22" s="33">
        <f t="shared" si="26"/>
        <v>0</v>
      </c>
      <c r="BQ22" s="63" t="e">
        <f t="shared" si="27"/>
        <v>#DIV/0!</v>
      </c>
      <c r="BR22" s="37" t="e">
        <f t="shared" si="28"/>
        <v>#DIV/0!</v>
      </c>
      <c r="BS22" s="59"/>
      <c r="BT22" s="59"/>
      <c r="BU22" s="59"/>
      <c r="BV22" s="61" t="s">
        <v>62</v>
      </c>
      <c r="BW22" s="33">
        <f t="shared" si="29"/>
        <v>0</v>
      </c>
      <c r="BX22" s="63" t="e">
        <f t="shared" si="30"/>
        <v>#DIV/0!</v>
      </c>
      <c r="BY22" s="37" t="e">
        <f t="shared" si="31"/>
        <v>#DIV/0!</v>
      </c>
      <c r="BZ22" s="59"/>
      <c r="CA22" s="59"/>
      <c r="CB22" s="59"/>
      <c r="CC22" s="31">
        <f t="shared" si="32"/>
        <v>0</v>
      </c>
      <c r="CD22" s="33">
        <f t="shared" si="33"/>
        <v>0</v>
      </c>
      <c r="CE22" s="63" t="e">
        <f t="shared" si="34"/>
        <v>#DIV/0!</v>
      </c>
      <c r="CF22" s="37" t="e">
        <f t="shared" si="35"/>
        <v>#DIV/0!</v>
      </c>
      <c r="CG22" s="59"/>
      <c r="CH22" s="59"/>
      <c r="CI22" s="59"/>
      <c r="CJ22" s="61" t="s">
        <v>62</v>
      </c>
      <c r="CK22" s="33">
        <f t="shared" si="37"/>
        <v>0</v>
      </c>
      <c r="CL22" s="63" t="e">
        <f t="shared" si="38"/>
        <v>#DIV/0!</v>
      </c>
      <c r="CM22" s="37" t="e">
        <f t="shared" si="39"/>
        <v>#DIV/0!</v>
      </c>
    </row>
    <row r="23" s="1" customFormat="1" hidden="1" spans="1:91">
      <c r="A23" s="66"/>
      <c r="B23" s="40" t="s">
        <v>45</v>
      </c>
      <c r="C23" s="40" t="s">
        <v>137</v>
      </c>
      <c r="D23" s="65"/>
      <c r="E23" s="67">
        <v>0</v>
      </c>
      <c r="F23" s="33">
        <v>0</v>
      </c>
      <c r="G23" s="37">
        <v>0</v>
      </c>
      <c r="H23" s="59"/>
      <c r="I23" s="59"/>
      <c r="J23" s="59"/>
      <c r="K23" s="61" t="s">
        <v>62</v>
      </c>
      <c r="L23" s="33">
        <f t="shared" si="2"/>
        <v>0</v>
      </c>
      <c r="M23" s="37" t="e">
        <f t="shared" si="3"/>
        <v>#DIV/0!</v>
      </c>
      <c r="N23" s="31" t="e">
        <f t="shared" si="4"/>
        <v>#DIV/0!</v>
      </c>
      <c r="O23" s="59"/>
      <c r="P23" s="59"/>
      <c r="Q23" s="59"/>
      <c r="R23" s="61" t="s">
        <v>62</v>
      </c>
      <c r="S23" s="33">
        <f t="shared" si="5"/>
        <v>0</v>
      </c>
      <c r="T23" s="31" t="e">
        <f t="shared" si="6"/>
        <v>#DIV/0!</v>
      </c>
      <c r="U23" s="31" t="e">
        <f t="shared" si="7"/>
        <v>#DIV/0!</v>
      </c>
      <c r="V23" s="59"/>
      <c r="W23" s="59"/>
      <c r="X23" s="59"/>
      <c r="Y23" s="61" t="s">
        <v>62</v>
      </c>
      <c r="Z23" s="33">
        <f t="shared" si="8"/>
        <v>0</v>
      </c>
      <c r="AA23" s="31" t="e">
        <f t="shared" si="9"/>
        <v>#DIV/0!</v>
      </c>
      <c r="AB23" s="31" t="e">
        <f t="shared" si="10"/>
        <v>#DIV/0!</v>
      </c>
      <c r="AC23" s="59"/>
      <c r="AD23" s="59"/>
      <c r="AE23" s="59"/>
      <c r="AF23" s="61" t="s">
        <v>62</v>
      </c>
      <c r="AG23" s="28">
        <f t="shared" si="11"/>
        <v>0</v>
      </c>
      <c r="AH23" s="23" t="e">
        <f t="shared" si="12"/>
        <v>#DIV/0!</v>
      </c>
      <c r="AI23" s="23" t="e">
        <f t="shared" si="13"/>
        <v>#DIV/0!</v>
      </c>
      <c r="AJ23" s="59"/>
      <c r="AK23" s="59"/>
      <c r="AL23" s="59"/>
      <c r="AM23" s="61" t="s">
        <v>62</v>
      </c>
      <c r="AN23" s="28">
        <f t="shared" si="14"/>
        <v>0</v>
      </c>
      <c r="AO23" s="23" t="e">
        <f t="shared" si="15"/>
        <v>#DIV/0!</v>
      </c>
      <c r="AP23" s="23" t="e">
        <f t="shared" si="16"/>
        <v>#DIV/0!</v>
      </c>
      <c r="AQ23" s="59"/>
      <c r="AR23" s="59"/>
      <c r="AS23" s="59"/>
      <c r="AT23" s="61" t="s">
        <v>62</v>
      </c>
      <c r="AU23" s="28">
        <f t="shared" si="17"/>
        <v>0</v>
      </c>
      <c r="AV23" s="23" t="e">
        <f t="shared" si="18"/>
        <v>#DIV/0!</v>
      </c>
      <c r="AW23" s="23" t="e">
        <f t="shared" si="19"/>
        <v>#DIV/0!</v>
      </c>
      <c r="AX23" s="59"/>
      <c r="AY23" s="59"/>
      <c r="AZ23" s="59"/>
      <c r="BA23" s="61" t="s">
        <v>62</v>
      </c>
      <c r="BB23" s="28">
        <f t="shared" si="20"/>
        <v>0</v>
      </c>
      <c r="BC23" s="23" t="e">
        <f t="shared" si="21"/>
        <v>#DIV/0!</v>
      </c>
      <c r="BD23" s="23" t="e">
        <f t="shared" si="22"/>
        <v>#DIV/0!</v>
      </c>
      <c r="BE23" s="59"/>
      <c r="BF23" s="59"/>
      <c r="BG23" s="59"/>
      <c r="BH23" s="61" t="s">
        <v>62</v>
      </c>
      <c r="BI23" s="28">
        <f t="shared" si="23"/>
        <v>0</v>
      </c>
      <c r="BJ23" s="23" t="e">
        <f t="shared" si="24"/>
        <v>#DIV/0!</v>
      </c>
      <c r="BK23" s="23" t="e">
        <f t="shared" si="25"/>
        <v>#DIV/0!</v>
      </c>
      <c r="BL23" s="59"/>
      <c r="BM23" s="59"/>
      <c r="BN23" s="59"/>
      <c r="BO23" s="61" t="s">
        <v>62</v>
      </c>
      <c r="BP23" s="33">
        <f t="shared" si="26"/>
        <v>0</v>
      </c>
      <c r="BQ23" s="37" t="e">
        <f t="shared" si="27"/>
        <v>#DIV/0!</v>
      </c>
      <c r="BR23" s="37" t="e">
        <f t="shared" si="28"/>
        <v>#DIV/0!</v>
      </c>
      <c r="BS23" s="59"/>
      <c r="BT23" s="59"/>
      <c r="BU23" s="59"/>
      <c r="BV23" s="61" t="s">
        <v>62</v>
      </c>
      <c r="BW23" s="33">
        <f t="shared" si="29"/>
        <v>0</v>
      </c>
      <c r="BX23" s="37" t="e">
        <f t="shared" si="30"/>
        <v>#DIV/0!</v>
      </c>
      <c r="BY23" s="37" t="e">
        <f t="shared" si="31"/>
        <v>#DIV/0!</v>
      </c>
      <c r="BZ23" s="59"/>
      <c r="CA23" s="59"/>
      <c r="CB23" s="59"/>
      <c r="CC23" s="31">
        <f t="shared" si="32"/>
        <v>0</v>
      </c>
      <c r="CD23" s="33">
        <f t="shared" si="33"/>
        <v>0</v>
      </c>
      <c r="CE23" s="37" t="e">
        <f t="shared" si="34"/>
        <v>#DIV/0!</v>
      </c>
      <c r="CF23" s="37" t="e">
        <f t="shared" si="35"/>
        <v>#DIV/0!</v>
      </c>
      <c r="CG23" s="59"/>
      <c r="CH23" s="59"/>
      <c r="CI23" s="59"/>
      <c r="CJ23" s="61" t="s">
        <v>62</v>
      </c>
      <c r="CK23" s="33">
        <f t="shared" si="37"/>
        <v>0</v>
      </c>
      <c r="CL23" s="37" t="e">
        <f t="shared" si="38"/>
        <v>#DIV/0!</v>
      </c>
      <c r="CM23" s="37" t="e">
        <f t="shared" si="39"/>
        <v>#DIV/0!</v>
      </c>
    </row>
    <row r="24" s="1" customFormat="1" ht="30" customHeight="1" spans="1:91">
      <c r="A24" s="42" t="s">
        <v>66</v>
      </c>
      <c r="B24" s="42" t="s">
        <v>55</v>
      </c>
      <c r="C24" s="42" t="s">
        <v>138</v>
      </c>
      <c r="D24" s="41" t="s">
        <v>139</v>
      </c>
      <c r="E24" s="68">
        <f t="shared" ref="E24:J24" si="96">E19/E20</f>
        <v>103.374023528142</v>
      </c>
      <c r="F24" s="68">
        <f t="shared" si="96"/>
        <v>48.8810894080599</v>
      </c>
      <c r="G24" s="31">
        <f t="shared" si="94"/>
        <v>0.472856601104946</v>
      </c>
      <c r="H24" s="28">
        <f t="shared" si="96"/>
        <v>66.8729931497835</v>
      </c>
      <c r="I24" s="28">
        <f t="shared" si="96"/>
        <v>66.8729931497835</v>
      </c>
      <c r="J24" s="28">
        <f t="shared" si="96"/>
        <v>56.5706184074457</v>
      </c>
      <c r="K24" s="23" t="s">
        <v>62</v>
      </c>
      <c r="L24" s="33">
        <f t="shared" si="2"/>
        <v>-10.3023747423378</v>
      </c>
      <c r="M24" s="31">
        <f t="shared" si="3"/>
        <v>0.84594117509796</v>
      </c>
      <c r="N24" s="31">
        <f t="shared" si="4"/>
        <v>0.84594117509796</v>
      </c>
      <c r="O24" s="28">
        <f t="shared" ref="O24:Q24" si="97">O19/O20</f>
        <v>254.249934260584</v>
      </c>
      <c r="P24" s="28">
        <f t="shared" si="97"/>
        <v>254.249934260584</v>
      </c>
      <c r="Q24" s="28">
        <f t="shared" si="97"/>
        <v>261.2460009919</v>
      </c>
      <c r="R24" s="23" t="s">
        <v>62</v>
      </c>
      <c r="S24" s="33">
        <f t="shared" si="5"/>
        <v>6.99606673131586</v>
      </c>
      <c r="T24" s="31">
        <f t="shared" si="6"/>
        <v>1.0275164937669</v>
      </c>
      <c r="U24" s="31">
        <f t="shared" si="7"/>
        <v>1.0275164937669</v>
      </c>
      <c r="V24" s="28">
        <f t="shared" ref="V24:X24" si="98">V19/V20</f>
        <v>59.8776197570088</v>
      </c>
      <c r="W24" s="28">
        <f t="shared" si="98"/>
        <v>59.8776197570088</v>
      </c>
      <c r="X24" s="28">
        <f t="shared" si="98"/>
        <v>90.5507227439772</v>
      </c>
      <c r="Y24" s="23" t="s">
        <v>62</v>
      </c>
      <c r="Z24" s="33">
        <f t="shared" si="8"/>
        <v>30.6731029869684</v>
      </c>
      <c r="AA24" s="31">
        <f t="shared" si="9"/>
        <v>1.51226323142843</v>
      </c>
      <c r="AB24" s="31">
        <f t="shared" si="10"/>
        <v>1.51226323142843</v>
      </c>
      <c r="AC24" s="28">
        <f t="shared" ref="AC24:AE24" si="99">AC19/AC20</f>
        <v>27.779289809916</v>
      </c>
      <c r="AD24" s="28">
        <f t="shared" si="99"/>
        <v>27.7792898099161</v>
      </c>
      <c r="AE24" s="28" t="e">
        <f t="shared" si="99"/>
        <v>#DIV/0!</v>
      </c>
      <c r="AF24" s="23" t="s">
        <v>62</v>
      </c>
      <c r="AG24" s="28" t="e">
        <f t="shared" si="11"/>
        <v>#DIV/0!</v>
      </c>
      <c r="AH24" s="23" t="e">
        <f t="shared" si="12"/>
        <v>#DIV/0!</v>
      </c>
      <c r="AI24" s="23" t="e">
        <f t="shared" si="13"/>
        <v>#DIV/0!</v>
      </c>
      <c r="AJ24" s="28">
        <f t="shared" ref="AJ24:AL24" si="100">AJ19/AJ20</f>
        <v>61.6332377345369</v>
      </c>
      <c r="AK24" s="28">
        <f t="shared" si="100"/>
        <v>61.6332377345369</v>
      </c>
      <c r="AL24" s="28" t="e">
        <f t="shared" si="100"/>
        <v>#DIV/0!</v>
      </c>
      <c r="AM24" s="23" t="s">
        <v>62</v>
      </c>
      <c r="AN24" s="28" t="e">
        <f t="shared" si="14"/>
        <v>#DIV/0!</v>
      </c>
      <c r="AO24" s="23" t="e">
        <f t="shared" si="15"/>
        <v>#DIV/0!</v>
      </c>
      <c r="AP24" s="23" t="e">
        <f t="shared" si="16"/>
        <v>#DIV/0!</v>
      </c>
      <c r="AQ24" s="28">
        <f t="shared" ref="AQ24:AS24" si="101">AQ19/AQ20</f>
        <v>45.4250845082906</v>
      </c>
      <c r="AR24" s="28">
        <f t="shared" si="101"/>
        <v>45.4250845082906</v>
      </c>
      <c r="AS24" s="28">
        <f t="shared" si="101"/>
        <v>0</v>
      </c>
      <c r="AT24" s="23" t="s">
        <v>62</v>
      </c>
      <c r="AU24" s="28">
        <f t="shared" si="17"/>
        <v>-45.4250845082906</v>
      </c>
      <c r="AV24" s="23">
        <f t="shared" si="18"/>
        <v>0</v>
      </c>
      <c r="AW24" s="23">
        <f t="shared" si="19"/>
        <v>0</v>
      </c>
      <c r="AX24" s="28">
        <f t="shared" ref="AX24:AZ24" si="102">AX19/AX20</f>
        <v>212.930964976274</v>
      </c>
      <c r="AY24" s="28">
        <f t="shared" si="102"/>
        <v>212.930964976274</v>
      </c>
      <c r="AZ24" s="28">
        <f t="shared" si="102"/>
        <v>0</v>
      </c>
      <c r="BA24" s="23" t="s">
        <v>62</v>
      </c>
      <c r="BB24" s="28">
        <f t="shared" si="20"/>
        <v>-212.930964976274</v>
      </c>
      <c r="BC24" s="23">
        <f t="shared" si="21"/>
        <v>0</v>
      </c>
      <c r="BD24" s="23">
        <f t="shared" si="22"/>
        <v>0</v>
      </c>
      <c r="BE24" s="28">
        <f t="shared" ref="BE24:BG24" si="103">BE19/BE20</f>
        <v>180.627220027773</v>
      </c>
      <c r="BF24" s="28">
        <f t="shared" si="103"/>
        <v>180.627220027773</v>
      </c>
      <c r="BG24" s="28" t="e">
        <f t="shared" si="103"/>
        <v>#DIV/0!</v>
      </c>
      <c r="BH24" s="23" t="s">
        <v>62</v>
      </c>
      <c r="BI24" s="28" t="e">
        <f t="shared" si="23"/>
        <v>#DIV/0!</v>
      </c>
      <c r="BJ24" s="23" t="e">
        <f t="shared" si="24"/>
        <v>#DIV/0!</v>
      </c>
      <c r="BK24" s="23" t="e">
        <f t="shared" si="25"/>
        <v>#DIV/0!</v>
      </c>
      <c r="BL24" s="28">
        <f t="shared" ref="BL24:BN24" si="104">BL19/BL20</f>
        <v>26.8312561020508</v>
      </c>
      <c r="BM24" s="28">
        <f t="shared" si="104"/>
        <v>26.8312561020508</v>
      </c>
      <c r="BN24" s="28">
        <f t="shared" si="104"/>
        <v>0</v>
      </c>
      <c r="BO24" s="23" t="s">
        <v>62</v>
      </c>
      <c r="BP24" s="33">
        <f t="shared" si="26"/>
        <v>-26.8312561020508</v>
      </c>
      <c r="BQ24" s="37">
        <f t="shared" si="27"/>
        <v>0</v>
      </c>
      <c r="BR24" s="37">
        <f t="shared" si="28"/>
        <v>0</v>
      </c>
      <c r="BS24" s="28">
        <f t="shared" ref="BS24:BU24" si="105">BS19/BS20</f>
        <v>70.6433572529181</v>
      </c>
      <c r="BT24" s="28">
        <f t="shared" si="105"/>
        <v>70.6433572529181</v>
      </c>
      <c r="BU24" s="28">
        <f t="shared" si="105"/>
        <v>0</v>
      </c>
      <c r="BV24" s="23" t="s">
        <v>62</v>
      </c>
      <c r="BW24" s="33">
        <f t="shared" si="29"/>
        <v>-70.6433572529181</v>
      </c>
      <c r="BX24" s="37">
        <f t="shared" si="30"/>
        <v>0</v>
      </c>
      <c r="BY24" s="37">
        <f t="shared" si="31"/>
        <v>0</v>
      </c>
      <c r="BZ24" s="28">
        <f t="shared" ref="BZ24:CB24" si="106">BZ19/BZ20</f>
        <v>44.6526125981783</v>
      </c>
      <c r="CA24" s="28">
        <f t="shared" si="106"/>
        <v>44.6526125981783</v>
      </c>
      <c r="CB24" s="28">
        <f t="shared" si="106"/>
        <v>0</v>
      </c>
      <c r="CC24" s="31">
        <f t="shared" si="32"/>
        <v>0</v>
      </c>
      <c r="CD24" s="33">
        <f t="shared" si="33"/>
        <v>-44.6526125981783</v>
      </c>
      <c r="CE24" s="37">
        <f t="shared" si="34"/>
        <v>0</v>
      </c>
      <c r="CF24" s="37">
        <f t="shared" si="35"/>
        <v>0</v>
      </c>
      <c r="CG24" s="28">
        <f t="shared" ref="CG24:CI24" si="107">CG19/CG20</f>
        <v>78.4675316693029</v>
      </c>
      <c r="CH24" s="28">
        <f t="shared" si="107"/>
        <v>78.4675316693029</v>
      </c>
      <c r="CI24" s="28">
        <f t="shared" si="107"/>
        <v>0</v>
      </c>
      <c r="CJ24" s="23" t="s">
        <v>62</v>
      </c>
      <c r="CK24" s="33">
        <f t="shared" si="37"/>
        <v>-78.4675316693029</v>
      </c>
      <c r="CL24" s="37">
        <f t="shared" si="38"/>
        <v>0</v>
      </c>
      <c r="CM24" s="37">
        <f t="shared" si="39"/>
        <v>0</v>
      </c>
    </row>
    <row r="25" s="1" customFormat="1" spans="1:91">
      <c r="A25" s="42" t="s">
        <v>140</v>
      </c>
      <c r="B25" s="42" t="s">
        <v>63</v>
      </c>
      <c r="C25" s="42" t="s">
        <v>72</v>
      </c>
      <c r="D25" s="44" t="s">
        <v>122</v>
      </c>
      <c r="E25" s="69">
        <v>13</v>
      </c>
      <c r="F25" s="33">
        <v>13</v>
      </c>
      <c r="G25" s="31">
        <f t="shared" si="94"/>
        <v>1</v>
      </c>
      <c r="H25" s="28">
        <v>13</v>
      </c>
      <c r="I25" s="28">
        <v>13</v>
      </c>
      <c r="J25" s="28">
        <v>13</v>
      </c>
      <c r="K25" s="23" t="s">
        <v>62</v>
      </c>
      <c r="L25" s="33">
        <f t="shared" si="2"/>
        <v>0</v>
      </c>
      <c r="M25" s="31">
        <f t="shared" si="3"/>
        <v>1</v>
      </c>
      <c r="N25" s="31">
        <f t="shared" si="4"/>
        <v>1</v>
      </c>
      <c r="O25" s="28">
        <v>13</v>
      </c>
      <c r="P25" s="28">
        <v>13</v>
      </c>
      <c r="Q25" s="28">
        <v>13</v>
      </c>
      <c r="R25" s="23" t="s">
        <v>62</v>
      </c>
      <c r="S25" s="33">
        <v>0</v>
      </c>
      <c r="T25" s="31">
        <f t="shared" si="6"/>
        <v>1</v>
      </c>
      <c r="U25" s="31">
        <f t="shared" si="7"/>
        <v>1</v>
      </c>
      <c r="V25" s="28">
        <v>13</v>
      </c>
      <c r="W25" s="28">
        <v>13</v>
      </c>
      <c r="X25" s="28">
        <v>13</v>
      </c>
      <c r="Y25" s="23" t="s">
        <v>62</v>
      </c>
      <c r="Z25" s="33">
        <f t="shared" si="8"/>
        <v>0</v>
      </c>
      <c r="AA25" s="31">
        <f t="shared" si="9"/>
        <v>1</v>
      </c>
      <c r="AB25" s="31">
        <f t="shared" si="10"/>
        <v>1</v>
      </c>
      <c r="AC25" s="28">
        <v>13</v>
      </c>
      <c r="AD25" s="28">
        <v>13</v>
      </c>
      <c r="AE25" s="28">
        <v>13</v>
      </c>
      <c r="AF25" s="23" t="s">
        <v>62</v>
      </c>
      <c r="AG25" s="28">
        <f t="shared" si="11"/>
        <v>0</v>
      </c>
      <c r="AH25" s="23">
        <f t="shared" si="12"/>
        <v>1</v>
      </c>
      <c r="AI25" s="23">
        <f t="shared" si="13"/>
        <v>1</v>
      </c>
      <c r="AJ25" s="28">
        <v>13</v>
      </c>
      <c r="AK25" s="28">
        <v>13</v>
      </c>
      <c r="AL25" s="28">
        <v>13</v>
      </c>
      <c r="AM25" s="23" t="s">
        <v>62</v>
      </c>
      <c r="AN25" s="28">
        <f t="shared" si="14"/>
        <v>0</v>
      </c>
      <c r="AO25" s="23">
        <f t="shared" si="15"/>
        <v>1</v>
      </c>
      <c r="AP25" s="23">
        <f t="shared" si="16"/>
        <v>1</v>
      </c>
      <c r="AQ25" s="28">
        <v>13</v>
      </c>
      <c r="AR25" s="28">
        <v>13</v>
      </c>
      <c r="AS25" s="28">
        <v>13</v>
      </c>
      <c r="AT25" s="23" t="s">
        <v>62</v>
      </c>
      <c r="AU25" s="28">
        <f t="shared" si="17"/>
        <v>0</v>
      </c>
      <c r="AV25" s="23">
        <f t="shared" si="18"/>
        <v>1</v>
      </c>
      <c r="AW25" s="23">
        <f t="shared" si="19"/>
        <v>1</v>
      </c>
      <c r="AX25" s="28">
        <v>16</v>
      </c>
      <c r="AY25" s="28">
        <v>16</v>
      </c>
      <c r="AZ25" s="28">
        <v>16</v>
      </c>
      <c r="BA25" s="23" t="s">
        <v>62</v>
      </c>
      <c r="BB25" s="28">
        <f t="shared" si="20"/>
        <v>0</v>
      </c>
      <c r="BC25" s="23">
        <f t="shared" si="21"/>
        <v>1</v>
      </c>
      <c r="BD25" s="23">
        <f t="shared" si="22"/>
        <v>1</v>
      </c>
      <c r="BE25" s="28">
        <v>16</v>
      </c>
      <c r="BF25" s="28">
        <v>16</v>
      </c>
      <c r="BG25" s="28">
        <v>16</v>
      </c>
      <c r="BH25" s="23" t="s">
        <v>62</v>
      </c>
      <c r="BI25" s="28">
        <f t="shared" si="23"/>
        <v>0</v>
      </c>
      <c r="BJ25" s="23">
        <f t="shared" si="24"/>
        <v>1</v>
      </c>
      <c r="BK25" s="23">
        <f t="shared" si="25"/>
        <v>1</v>
      </c>
      <c r="BL25" s="28">
        <v>13</v>
      </c>
      <c r="BM25" s="28">
        <v>13</v>
      </c>
      <c r="BN25" s="28">
        <v>13</v>
      </c>
      <c r="BO25" s="23" t="s">
        <v>62</v>
      </c>
      <c r="BP25" s="33">
        <f t="shared" si="26"/>
        <v>0</v>
      </c>
      <c r="BQ25" s="37">
        <f t="shared" si="27"/>
        <v>1</v>
      </c>
      <c r="BR25" s="37">
        <f t="shared" si="28"/>
        <v>1</v>
      </c>
      <c r="BS25" s="28">
        <v>13</v>
      </c>
      <c r="BT25" s="28">
        <v>13</v>
      </c>
      <c r="BU25" s="28">
        <v>13</v>
      </c>
      <c r="BV25" s="23" t="s">
        <v>62</v>
      </c>
      <c r="BW25" s="33">
        <f t="shared" si="29"/>
        <v>0</v>
      </c>
      <c r="BX25" s="37">
        <f t="shared" si="30"/>
        <v>1</v>
      </c>
      <c r="BY25" s="37">
        <f t="shared" si="31"/>
        <v>1</v>
      </c>
      <c r="BZ25" s="28">
        <v>13</v>
      </c>
      <c r="CA25" s="28">
        <v>13</v>
      </c>
      <c r="CB25" s="28">
        <v>13</v>
      </c>
      <c r="CC25" s="31">
        <f t="shared" si="32"/>
        <v>2.89175037227393e-5</v>
      </c>
      <c r="CD25" s="33">
        <f t="shared" si="33"/>
        <v>0</v>
      </c>
      <c r="CE25" s="37">
        <f t="shared" si="34"/>
        <v>1</v>
      </c>
      <c r="CF25" s="37">
        <f t="shared" si="35"/>
        <v>1</v>
      </c>
      <c r="CG25" s="28">
        <v>13</v>
      </c>
      <c r="CH25" s="28">
        <v>13</v>
      </c>
      <c r="CI25" s="28">
        <v>13</v>
      </c>
      <c r="CJ25" s="23" t="s">
        <v>62</v>
      </c>
      <c r="CK25" s="33">
        <f t="shared" si="37"/>
        <v>0</v>
      </c>
      <c r="CL25" s="37">
        <f t="shared" si="38"/>
        <v>1</v>
      </c>
      <c r="CM25" s="37">
        <f t="shared" si="39"/>
        <v>1</v>
      </c>
    </row>
    <row r="26" s="1" customFormat="1" ht="27" spans="1:91">
      <c r="A26" s="42"/>
      <c r="B26" s="42" t="s">
        <v>141</v>
      </c>
      <c r="C26" s="42" t="s">
        <v>74</v>
      </c>
      <c r="D26" s="44" t="s">
        <v>142</v>
      </c>
      <c r="E26" s="70">
        <f t="shared" ref="E26:J26" si="108">E8/E25</f>
        <v>700206.153846154</v>
      </c>
      <c r="F26" s="71">
        <f t="shared" si="108"/>
        <v>204116.225384615</v>
      </c>
      <c r="G26" s="31">
        <f t="shared" si="94"/>
        <v>0.291508756761745</v>
      </c>
      <c r="H26" s="72">
        <f t="shared" si="108"/>
        <v>43572.3076923077</v>
      </c>
      <c r="I26" s="72">
        <f t="shared" si="108"/>
        <v>43572.3076923077</v>
      </c>
      <c r="J26" s="72">
        <f t="shared" si="108"/>
        <v>34581.1315384615</v>
      </c>
      <c r="K26" s="23" t="s">
        <v>62</v>
      </c>
      <c r="L26" s="33">
        <f t="shared" si="2"/>
        <v>-8991.17615384617</v>
      </c>
      <c r="M26" s="31">
        <f t="shared" si="3"/>
        <v>0.793649300896829</v>
      </c>
      <c r="N26" s="31">
        <f t="shared" si="4"/>
        <v>0.793649300896829</v>
      </c>
      <c r="O26" s="72">
        <f t="shared" ref="O26:Q26" si="109">O8/O25</f>
        <v>143692.307692308</v>
      </c>
      <c r="P26" s="72">
        <f t="shared" si="109"/>
        <v>143692.307692308</v>
      </c>
      <c r="Q26" s="72">
        <f t="shared" si="109"/>
        <v>125247.591538462</v>
      </c>
      <c r="R26" s="23" t="s">
        <v>62</v>
      </c>
      <c r="S26" s="33">
        <f t="shared" ref="S26:S32" si="110">Q26-P26</f>
        <v>-18444.7161538462</v>
      </c>
      <c r="T26" s="31">
        <f t="shared" si="6"/>
        <v>0.871637414346895</v>
      </c>
      <c r="U26" s="31">
        <f t="shared" si="7"/>
        <v>0.871637414346895</v>
      </c>
      <c r="V26" s="72">
        <f t="shared" ref="V26:X26" si="111">V8/V25</f>
        <v>40546.1538461538</v>
      </c>
      <c r="W26" s="72">
        <f t="shared" si="111"/>
        <v>40546.1538461538</v>
      </c>
      <c r="X26" s="72">
        <f t="shared" si="111"/>
        <v>44287.5023076923</v>
      </c>
      <c r="Y26" s="23" t="s">
        <v>62</v>
      </c>
      <c r="Z26" s="33">
        <f t="shared" si="8"/>
        <v>3741.3484615385</v>
      </c>
      <c r="AA26" s="31">
        <f t="shared" si="9"/>
        <v>1.09227381900968</v>
      </c>
      <c r="AB26" s="31">
        <f t="shared" si="10"/>
        <v>1.09227381900968</v>
      </c>
      <c r="AC26" s="72">
        <f t="shared" ref="AC26:AE26" si="112">AC8/AC25</f>
        <v>28107.6923076923</v>
      </c>
      <c r="AD26" s="72">
        <f t="shared" si="112"/>
        <v>28107.6923076923</v>
      </c>
      <c r="AE26" s="72">
        <f t="shared" si="112"/>
        <v>0</v>
      </c>
      <c r="AF26" s="23" t="s">
        <v>62</v>
      </c>
      <c r="AG26" s="28">
        <f t="shared" si="11"/>
        <v>-28107.6923076923</v>
      </c>
      <c r="AH26" s="23">
        <f t="shared" si="12"/>
        <v>0</v>
      </c>
      <c r="AI26" s="23">
        <f t="shared" si="13"/>
        <v>0</v>
      </c>
      <c r="AJ26" s="72">
        <f t="shared" ref="AJ26:AL26" si="113">AJ8/AJ25</f>
        <v>41315.3846153846</v>
      </c>
      <c r="AK26" s="72">
        <f t="shared" si="113"/>
        <v>41315.3846153846</v>
      </c>
      <c r="AL26" s="72">
        <f t="shared" si="113"/>
        <v>0</v>
      </c>
      <c r="AM26" s="23" t="s">
        <v>62</v>
      </c>
      <c r="AN26" s="28">
        <f t="shared" si="14"/>
        <v>-41315.3846153846</v>
      </c>
      <c r="AO26" s="23">
        <f t="shared" si="15"/>
        <v>0</v>
      </c>
      <c r="AP26" s="23">
        <f t="shared" si="16"/>
        <v>0</v>
      </c>
      <c r="AQ26" s="72">
        <f t="shared" ref="AQ26:AS26" si="114">AQ8/AQ25</f>
        <v>35126.1538461538</v>
      </c>
      <c r="AR26" s="72">
        <f t="shared" si="114"/>
        <v>35126.1538461538</v>
      </c>
      <c r="AS26" s="72">
        <f t="shared" si="114"/>
        <v>0</v>
      </c>
      <c r="AT26" s="23" t="s">
        <v>62</v>
      </c>
      <c r="AU26" s="28">
        <f t="shared" si="17"/>
        <v>-35126.1538461538</v>
      </c>
      <c r="AV26" s="23">
        <f t="shared" si="18"/>
        <v>0</v>
      </c>
      <c r="AW26" s="23">
        <f t="shared" si="19"/>
        <v>0</v>
      </c>
      <c r="AX26" s="73">
        <f t="shared" ref="AX26:AZ26" si="115">AX8/AX25</f>
        <v>85578.125</v>
      </c>
      <c r="AY26" s="73">
        <f t="shared" si="115"/>
        <v>85578.125</v>
      </c>
      <c r="AZ26" s="73">
        <f t="shared" si="115"/>
        <v>0</v>
      </c>
      <c r="BA26" s="23" t="s">
        <v>62</v>
      </c>
      <c r="BB26" s="28">
        <f t="shared" si="20"/>
        <v>-85578.125</v>
      </c>
      <c r="BC26" s="23">
        <f t="shared" si="21"/>
        <v>0</v>
      </c>
      <c r="BD26" s="23">
        <f t="shared" si="22"/>
        <v>0</v>
      </c>
      <c r="BE26" s="74">
        <f t="shared" ref="BE26:BG26" si="116">BE8/BE25</f>
        <v>85265.625</v>
      </c>
      <c r="BF26" s="74">
        <f t="shared" si="116"/>
        <v>85265.625</v>
      </c>
      <c r="BG26" s="74">
        <f t="shared" si="116"/>
        <v>0</v>
      </c>
      <c r="BH26" s="23" t="s">
        <v>62</v>
      </c>
      <c r="BI26" s="28">
        <f t="shared" si="23"/>
        <v>-85265.625</v>
      </c>
      <c r="BJ26" s="23">
        <f t="shared" si="24"/>
        <v>0</v>
      </c>
      <c r="BK26" s="23">
        <f t="shared" si="25"/>
        <v>0</v>
      </c>
      <c r="BL26" s="74">
        <f t="shared" ref="BL26:BN26" si="117">BL8/BL25</f>
        <v>27953.8461538462</v>
      </c>
      <c r="BM26" s="74">
        <f t="shared" si="117"/>
        <v>27953.8461538462</v>
      </c>
      <c r="BN26" s="73">
        <f t="shared" si="117"/>
        <v>0</v>
      </c>
      <c r="BO26" s="23" t="s">
        <v>62</v>
      </c>
      <c r="BP26" s="33">
        <f t="shared" si="26"/>
        <v>-27953.8461538462</v>
      </c>
      <c r="BQ26" s="37">
        <f t="shared" si="27"/>
        <v>0</v>
      </c>
      <c r="BR26" s="37">
        <f t="shared" si="28"/>
        <v>0</v>
      </c>
      <c r="BS26" s="74">
        <f t="shared" ref="BS26:BU26" si="118">BS8/BS25</f>
        <v>46196.9230769231</v>
      </c>
      <c r="BT26" s="74">
        <f t="shared" si="118"/>
        <v>46196.9230769231</v>
      </c>
      <c r="BU26" s="74">
        <f t="shared" si="118"/>
        <v>0</v>
      </c>
      <c r="BV26" s="23" t="s">
        <v>62</v>
      </c>
      <c r="BW26" s="33">
        <f t="shared" si="29"/>
        <v>-46196.9230769231</v>
      </c>
      <c r="BX26" s="37">
        <f t="shared" si="30"/>
        <v>0</v>
      </c>
      <c r="BY26" s="37">
        <f t="shared" si="31"/>
        <v>0</v>
      </c>
      <c r="BZ26" s="72">
        <f t="shared" ref="BZ26:CB26" si="119">BZ8/BZ25</f>
        <v>34587.6923076923</v>
      </c>
      <c r="CA26" s="72">
        <f t="shared" si="119"/>
        <v>34587.6923076923</v>
      </c>
      <c r="CB26" s="72">
        <f t="shared" si="119"/>
        <v>0</v>
      </c>
      <c r="CC26" s="31">
        <f t="shared" si="32"/>
        <v>0</v>
      </c>
      <c r="CD26" s="33">
        <f t="shared" si="33"/>
        <v>-34587.6923076923</v>
      </c>
      <c r="CE26" s="37">
        <f t="shared" si="34"/>
        <v>0</v>
      </c>
      <c r="CF26" s="37">
        <f t="shared" si="35"/>
        <v>0</v>
      </c>
      <c r="CG26" s="74">
        <f t="shared" ref="CG26:CI26" si="120">CG8/CG25</f>
        <v>48838.4615384615</v>
      </c>
      <c r="CH26" s="74">
        <f t="shared" si="120"/>
        <v>48838.4615384615</v>
      </c>
      <c r="CI26" s="74">
        <f t="shared" si="120"/>
        <v>0</v>
      </c>
      <c r="CJ26" s="23" t="s">
        <v>62</v>
      </c>
      <c r="CK26" s="33">
        <f t="shared" si="37"/>
        <v>-48838.4615384615</v>
      </c>
      <c r="CL26" s="37">
        <f t="shared" si="38"/>
        <v>0</v>
      </c>
      <c r="CM26" s="37">
        <f t="shared" si="39"/>
        <v>0</v>
      </c>
    </row>
    <row r="27" s="1" customFormat="1" spans="1:91">
      <c r="A27" s="42"/>
      <c r="B27" s="75" t="s">
        <v>143</v>
      </c>
      <c r="C27" s="75"/>
      <c r="D27" s="75"/>
      <c r="E27" s="75"/>
      <c r="F27" s="76"/>
      <c r="G27" s="77"/>
      <c r="H27" s="75"/>
      <c r="I27" s="75"/>
      <c r="J27" s="75"/>
      <c r="K27" s="77"/>
      <c r="L27" s="77"/>
      <c r="M27" s="77"/>
      <c r="N27" s="77"/>
      <c r="O27" s="75"/>
      <c r="P27" s="75"/>
      <c r="Q27" s="75"/>
      <c r="R27" s="77"/>
      <c r="S27" s="77"/>
      <c r="T27" s="77"/>
      <c r="U27" s="77"/>
      <c r="V27" s="75"/>
      <c r="W27" s="75"/>
      <c r="X27" s="75"/>
      <c r="Y27" s="77"/>
      <c r="Z27" s="77"/>
      <c r="AA27" s="77"/>
      <c r="AB27" s="77"/>
      <c r="AC27" s="75"/>
      <c r="AD27" s="75"/>
      <c r="AE27" s="75"/>
      <c r="AF27" s="77"/>
      <c r="AG27" s="77"/>
      <c r="AH27" s="77"/>
      <c r="AI27" s="77"/>
      <c r="AJ27" s="75"/>
      <c r="AK27" s="75"/>
      <c r="AL27" s="75"/>
      <c r="AM27" s="77"/>
      <c r="AN27" s="77"/>
      <c r="AO27" s="77"/>
      <c r="AP27" s="77"/>
      <c r="AQ27" s="75"/>
      <c r="AR27" s="75"/>
      <c r="AS27" s="75"/>
      <c r="AT27" s="77"/>
      <c r="AU27" s="77"/>
      <c r="AV27" s="77"/>
      <c r="AW27" s="77"/>
      <c r="AX27" s="75"/>
      <c r="AY27" s="75"/>
      <c r="AZ27" s="75"/>
      <c r="BA27" s="77"/>
      <c r="BB27" s="77"/>
      <c r="BC27" s="77"/>
      <c r="BD27" s="77"/>
      <c r="BE27" s="75"/>
      <c r="BF27" s="75"/>
      <c r="BG27" s="75"/>
      <c r="BH27" s="77"/>
      <c r="BI27" s="78"/>
      <c r="BJ27" s="78"/>
      <c r="BK27" s="78"/>
      <c r="BL27" s="79"/>
      <c r="BM27" s="79"/>
      <c r="BN27" s="75"/>
      <c r="BO27" s="77"/>
      <c r="BP27" s="77"/>
      <c r="BQ27" s="77"/>
      <c r="BR27" s="75"/>
      <c r="BS27" s="75"/>
      <c r="BT27" s="75"/>
      <c r="BU27" s="75"/>
      <c r="BV27" s="77"/>
      <c r="BW27" s="77"/>
      <c r="BX27" s="37"/>
      <c r="BY27" s="75"/>
      <c r="BZ27" s="75"/>
      <c r="CA27" s="75"/>
      <c r="CB27" s="75"/>
      <c r="CC27" s="31"/>
      <c r="CD27" s="33"/>
      <c r="CE27" s="37"/>
      <c r="CF27" s="37"/>
      <c r="CG27" s="75"/>
      <c r="CH27" s="75"/>
      <c r="CI27" s="75"/>
      <c r="CJ27" s="77"/>
      <c r="CK27" s="77"/>
      <c r="CL27" s="77"/>
      <c r="CM27" s="75"/>
    </row>
    <row r="28" s="1" customFormat="1" spans="1:91">
      <c r="A28" s="42" t="s">
        <v>144</v>
      </c>
      <c r="B28" s="40" t="s">
        <v>145</v>
      </c>
      <c r="C28" s="40" t="s">
        <v>79</v>
      </c>
      <c r="D28" s="44" t="s">
        <v>122</v>
      </c>
      <c r="E28" s="69">
        <v>913000</v>
      </c>
      <c r="F28" s="29">
        <f>J28+Q28+X28+AE28+AL28+AS28+AZ28+BG28+BN28+BU28+CB28+CI28</f>
        <v>239898.98</v>
      </c>
      <c r="G28" s="31">
        <f t="shared" ref="G28:G32" si="121">F28/E28</f>
        <v>0.262759014238773</v>
      </c>
      <c r="H28" s="28">
        <v>72000</v>
      </c>
      <c r="I28" s="28">
        <v>72000</v>
      </c>
      <c r="J28" s="28">
        <v>60460.2</v>
      </c>
      <c r="K28" s="31">
        <f>J28/$J$8</f>
        <v>0.134489081429043</v>
      </c>
      <c r="L28" s="33">
        <f t="shared" ref="L28:L32" si="122">J28-I28</f>
        <v>-11539.8</v>
      </c>
      <c r="M28" s="31">
        <f t="shared" ref="M28:M32" si="123">J28/I28</f>
        <v>0.839725</v>
      </c>
      <c r="N28" s="31">
        <f t="shared" ref="N28:N31" si="124">J28/H28</f>
        <v>0.839725</v>
      </c>
      <c r="O28" s="28">
        <v>123000</v>
      </c>
      <c r="P28" s="28">
        <v>123000</v>
      </c>
      <c r="Q28" s="28">
        <v>106242.57</v>
      </c>
      <c r="R28" s="31">
        <f>Q28/$J$8</f>
        <v>0.236328454883723</v>
      </c>
      <c r="S28" s="33">
        <f t="shared" si="110"/>
        <v>-16757.43</v>
      </c>
      <c r="T28" s="31">
        <f t="shared" ref="T28:T32" si="125">Q28/P28</f>
        <v>0.863760731707317</v>
      </c>
      <c r="U28" s="31">
        <f t="shared" ref="U28:U31" si="126">Q28/O28</f>
        <v>0.863760731707317</v>
      </c>
      <c r="V28" s="28">
        <v>68000</v>
      </c>
      <c r="W28" s="28">
        <v>68000</v>
      </c>
      <c r="X28" s="28">
        <v>73196.21</v>
      </c>
      <c r="Y28" s="31">
        <f>X28/$J$8</f>
        <v>0.162819359628108</v>
      </c>
      <c r="Z28" s="33">
        <f t="shared" ref="Z28:Z32" si="127">X28-W28</f>
        <v>5196.21000000001</v>
      </c>
      <c r="AA28" s="31">
        <f t="shared" ref="AA28:AA32" si="128">X28/W28</f>
        <v>1.07641485294118</v>
      </c>
      <c r="AB28" s="31">
        <f>X28/V28</f>
        <v>1.07641485294118</v>
      </c>
      <c r="AC28" s="28">
        <v>65000</v>
      </c>
      <c r="AD28" s="28">
        <v>65000</v>
      </c>
      <c r="AE28" s="28"/>
      <c r="AF28" s="31">
        <f>AE28/$J$8</f>
        <v>0</v>
      </c>
      <c r="AG28" s="28">
        <f t="shared" ref="AG28:AG32" si="129">AE28-AD28</f>
        <v>-65000</v>
      </c>
      <c r="AH28" s="23">
        <f t="shared" ref="AH28:AH32" si="130">AE28/AD28</f>
        <v>0</v>
      </c>
      <c r="AI28" s="23">
        <f t="shared" ref="AI28:AI31" si="131">AE28/AC28</f>
        <v>0</v>
      </c>
      <c r="AJ28" s="28">
        <v>70000</v>
      </c>
      <c r="AK28" s="28">
        <v>70000</v>
      </c>
      <c r="AL28" s="28"/>
      <c r="AM28" s="23">
        <f>AL28/$J$8</f>
        <v>0</v>
      </c>
      <c r="AN28" s="28">
        <f t="shared" ref="AN28:AN32" si="132">AL28-AK28</f>
        <v>-70000</v>
      </c>
      <c r="AO28" s="23">
        <f t="shared" ref="AO28:AO32" si="133">AL28/AK28</f>
        <v>0</v>
      </c>
      <c r="AP28" s="23">
        <f t="shared" ref="AP28:AP31" si="134">AL28/AJ28</f>
        <v>0</v>
      </c>
      <c r="AQ28" s="28">
        <v>65000</v>
      </c>
      <c r="AR28" s="28">
        <v>65000</v>
      </c>
      <c r="AS28" s="28"/>
      <c r="AT28" s="23">
        <f>AS28/$J$8</f>
        <v>0</v>
      </c>
      <c r="AU28" s="28">
        <f t="shared" ref="AU28:AU32" si="135">AS28-AR28</f>
        <v>-65000</v>
      </c>
      <c r="AV28" s="23">
        <f t="shared" ref="AV28:AV32" si="136">AS28/AR28</f>
        <v>0</v>
      </c>
      <c r="AW28" s="23">
        <f t="shared" ref="AW28:AW31" si="137">AS28/AQ28</f>
        <v>0</v>
      </c>
      <c r="AX28" s="28">
        <v>80000</v>
      </c>
      <c r="AY28" s="28">
        <v>80000</v>
      </c>
      <c r="AZ28" s="28"/>
      <c r="BA28" s="23">
        <f>AZ28/$J$8</f>
        <v>0</v>
      </c>
      <c r="BB28" s="28">
        <f t="shared" ref="BB28:BB32" si="138">AZ28-AY28</f>
        <v>-80000</v>
      </c>
      <c r="BC28" s="23">
        <f t="shared" ref="BC28:BC32" si="139">AZ28/AY28</f>
        <v>0</v>
      </c>
      <c r="BD28" s="23">
        <f>AZ28/AX28</f>
        <v>0</v>
      </c>
      <c r="BE28" s="80">
        <v>95000</v>
      </c>
      <c r="BF28" s="81">
        <v>95000</v>
      </c>
      <c r="BG28" s="28"/>
      <c r="BH28" s="31">
        <f>BG28/$J$8</f>
        <v>0</v>
      </c>
      <c r="BI28" s="28">
        <f t="shared" ref="BI28:BI32" si="140">BG28-BF28</f>
        <v>-95000</v>
      </c>
      <c r="BJ28" s="23">
        <f t="shared" ref="BJ28:BJ32" si="141">BG28/BF28</f>
        <v>0</v>
      </c>
      <c r="BK28" s="23">
        <f t="shared" ref="BK28:BK31" si="142">BG28/BE28</f>
        <v>0</v>
      </c>
      <c r="BL28" s="80">
        <v>65000</v>
      </c>
      <c r="BM28" s="45">
        <v>65000</v>
      </c>
      <c r="BN28" s="82"/>
      <c r="BO28" s="31">
        <f>BN28/$J$8</f>
        <v>0</v>
      </c>
      <c r="BP28" s="28">
        <f t="shared" ref="BP28:BP32" si="143">BN28-BM28</f>
        <v>-65000</v>
      </c>
      <c r="BQ28" s="23">
        <f t="shared" ref="BQ28:BQ32" si="144">BN28/BM28</f>
        <v>0</v>
      </c>
      <c r="BR28" s="23">
        <f>BN28/BL28</f>
        <v>0</v>
      </c>
      <c r="BS28" s="80">
        <v>70000</v>
      </c>
      <c r="BT28" s="28">
        <v>70000</v>
      </c>
      <c r="BU28" s="28"/>
      <c r="BV28" s="28"/>
      <c r="BW28" s="33">
        <f t="shared" ref="BW28:BW32" si="145">BU28-BT28</f>
        <v>-70000</v>
      </c>
      <c r="BX28" s="37">
        <f t="shared" ref="BX28:BX32" si="146">BU28/BT28</f>
        <v>0</v>
      </c>
      <c r="BY28" s="31" t="e">
        <f t="shared" ref="BY28:BY31" si="147">BV28/BU28</f>
        <v>#DIV/0!</v>
      </c>
      <c r="BZ28" s="80">
        <v>68000</v>
      </c>
      <c r="CA28" s="28">
        <v>68000</v>
      </c>
      <c r="CB28" s="28"/>
      <c r="CC28" s="31">
        <f>CB28/$J$8</f>
        <v>0</v>
      </c>
      <c r="CD28" s="33">
        <f t="shared" ref="CD28:CD32" si="148">CB28-CA28</f>
        <v>-68000</v>
      </c>
      <c r="CE28" s="37">
        <f t="shared" ref="CE28:CE32" si="149">CB28/CA28</f>
        <v>0</v>
      </c>
      <c r="CF28" s="37">
        <f>CB28/BZ28</f>
        <v>0</v>
      </c>
      <c r="CG28" s="80">
        <v>72000</v>
      </c>
      <c r="CH28" s="28">
        <v>72000</v>
      </c>
      <c r="CI28" s="28"/>
      <c r="CJ28" s="28"/>
      <c r="CK28" s="31">
        <f>CJ28/$J$8</f>
        <v>0</v>
      </c>
      <c r="CL28" s="33">
        <f t="shared" ref="CL28:CL31" si="150">CJ28-CI28</f>
        <v>0</v>
      </c>
      <c r="CM28" s="31" t="e">
        <f t="shared" ref="CM28:CM31" si="151">CJ28/CI28</f>
        <v>#DIV/0!</v>
      </c>
    </row>
    <row r="29" s="1" customFormat="1" spans="1:91">
      <c r="A29" s="42"/>
      <c r="B29" s="40" t="s">
        <v>73</v>
      </c>
      <c r="C29" s="40" t="s">
        <v>146</v>
      </c>
      <c r="D29" s="44" t="s">
        <v>147</v>
      </c>
      <c r="E29" s="28">
        <f t="shared" ref="E29:J29" si="152">E19-E28</f>
        <v>2547135.31553398</v>
      </c>
      <c r="F29" s="28">
        <f t="shared" si="152"/>
        <v>908757.74</v>
      </c>
      <c r="G29" s="31">
        <f t="shared" si="121"/>
        <v>0.356776388933027</v>
      </c>
      <c r="H29" s="28">
        <f t="shared" si="152"/>
        <v>105614.669805825</v>
      </c>
      <c r="I29" s="28">
        <f t="shared" si="152"/>
        <v>105614.669805825</v>
      </c>
      <c r="J29" s="28">
        <f t="shared" si="152"/>
        <v>76299.27</v>
      </c>
      <c r="K29" s="23" t="s">
        <v>62</v>
      </c>
      <c r="L29" s="33">
        <f t="shared" si="122"/>
        <v>-29315.399805825</v>
      </c>
      <c r="M29" s="31">
        <f t="shared" si="123"/>
        <v>0.7224306068492</v>
      </c>
      <c r="N29" s="31">
        <f t="shared" si="124"/>
        <v>0.7224306068492</v>
      </c>
      <c r="O29" s="28">
        <f t="shared" ref="O29:Q29" si="153">O19-O28</f>
        <v>769163.019320388</v>
      </c>
      <c r="P29" s="28">
        <f t="shared" si="153"/>
        <v>769163.019320388</v>
      </c>
      <c r="Q29" s="28">
        <f t="shared" si="153"/>
        <v>683895.96</v>
      </c>
      <c r="R29" s="23" t="s">
        <v>62</v>
      </c>
      <c r="S29" s="33">
        <f t="shared" si="110"/>
        <v>-85267.059320388</v>
      </c>
      <c r="T29" s="31">
        <f t="shared" si="125"/>
        <v>0.889143059171347</v>
      </c>
      <c r="U29" s="31">
        <f t="shared" si="126"/>
        <v>0.889143059171347</v>
      </c>
      <c r="V29" s="28">
        <f t="shared" ref="V29:X29" si="154">V19-V28</f>
        <v>102531.461067961</v>
      </c>
      <c r="W29" s="28">
        <f t="shared" si="154"/>
        <v>102531.461067961</v>
      </c>
      <c r="X29" s="28">
        <f t="shared" si="154"/>
        <v>148562.51</v>
      </c>
      <c r="Y29" s="23" t="s">
        <v>62</v>
      </c>
      <c r="Z29" s="33">
        <f t="shared" si="127"/>
        <v>46031.0489320391</v>
      </c>
      <c r="AA29" s="31">
        <f t="shared" si="128"/>
        <v>1.448945606086</v>
      </c>
      <c r="AB29" s="31">
        <v>0.263703189679085</v>
      </c>
      <c r="AC29" s="28">
        <f t="shared" ref="AC29:AE29" si="155">AC19-AC28</f>
        <v>14115.4173786408</v>
      </c>
      <c r="AD29" s="28">
        <f t="shared" si="155"/>
        <v>14115.417378641</v>
      </c>
      <c r="AE29" s="28">
        <f t="shared" si="155"/>
        <v>0</v>
      </c>
      <c r="AF29" s="23" t="s">
        <v>62</v>
      </c>
      <c r="AG29" s="28">
        <f t="shared" si="129"/>
        <v>-14115.417378641</v>
      </c>
      <c r="AH29" s="23">
        <f t="shared" si="130"/>
        <v>0</v>
      </c>
      <c r="AI29" s="23">
        <f t="shared" si="131"/>
        <v>0</v>
      </c>
      <c r="AJ29" s="28">
        <f t="shared" ref="AJ29:AL29" si="156">AJ19-AJ28</f>
        <v>105531.461067961</v>
      </c>
      <c r="AK29" s="28">
        <f t="shared" si="156"/>
        <v>105531.461067961</v>
      </c>
      <c r="AL29" s="28">
        <f t="shared" si="156"/>
        <v>0</v>
      </c>
      <c r="AM29" s="23" t="s">
        <v>62</v>
      </c>
      <c r="AN29" s="28">
        <f t="shared" si="132"/>
        <v>-105531.461067961</v>
      </c>
      <c r="AO29" s="23">
        <f t="shared" si="133"/>
        <v>0</v>
      </c>
      <c r="AP29" s="23">
        <f t="shared" si="134"/>
        <v>0</v>
      </c>
      <c r="AQ29" s="28">
        <f t="shared" ref="AQ29:AS29" si="157">AQ19-AQ28</f>
        <v>64370.6406796116</v>
      </c>
      <c r="AR29" s="28">
        <f t="shared" si="157"/>
        <v>64370.6406796116</v>
      </c>
      <c r="AS29" s="28">
        <f t="shared" si="157"/>
        <v>0</v>
      </c>
      <c r="AT29" s="23" t="s">
        <v>62</v>
      </c>
      <c r="AU29" s="28">
        <f t="shared" si="135"/>
        <v>-64370.6406796116</v>
      </c>
      <c r="AV29" s="23">
        <f t="shared" si="136"/>
        <v>0</v>
      </c>
      <c r="AW29" s="23">
        <f t="shared" si="137"/>
        <v>0</v>
      </c>
      <c r="AX29" s="28">
        <f t="shared" ref="AX29:AZ29" si="158">AX19-AX28</f>
        <v>526427.388252427</v>
      </c>
      <c r="AY29" s="28">
        <f t="shared" si="158"/>
        <v>526427.388252427</v>
      </c>
      <c r="AZ29" s="28">
        <f t="shared" si="158"/>
        <v>0</v>
      </c>
      <c r="BA29" s="23" t="s">
        <v>62</v>
      </c>
      <c r="BB29" s="28">
        <f t="shared" si="138"/>
        <v>-526427.388252427</v>
      </c>
      <c r="BC29" s="23">
        <f t="shared" si="139"/>
        <v>0</v>
      </c>
      <c r="BD29" s="23">
        <f>AZ29/AX29</f>
        <v>0</v>
      </c>
      <c r="BE29" s="28">
        <f t="shared" ref="BE29:BG29" si="159">BE19-BE28</f>
        <v>506127.388252427</v>
      </c>
      <c r="BF29" s="28">
        <f t="shared" si="159"/>
        <v>506127.388252427</v>
      </c>
      <c r="BG29" s="28">
        <f t="shared" si="159"/>
        <v>0</v>
      </c>
      <c r="BH29" s="31">
        <f>BG29/$J$8</f>
        <v>0</v>
      </c>
      <c r="BI29" s="28">
        <f t="shared" si="140"/>
        <v>-506127.388252427</v>
      </c>
      <c r="BJ29" s="23">
        <f t="shared" si="141"/>
        <v>0</v>
      </c>
      <c r="BK29" s="23">
        <f t="shared" si="142"/>
        <v>0</v>
      </c>
      <c r="BL29" s="80">
        <f t="shared" ref="BL29:BN29" si="160">BL19-BL28</f>
        <v>11415.4173786408</v>
      </c>
      <c r="BM29" s="80">
        <f t="shared" si="160"/>
        <v>11415.4173786408</v>
      </c>
      <c r="BN29" s="28">
        <f t="shared" si="160"/>
        <v>0</v>
      </c>
      <c r="BO29" s="31">
        <f>BN29/$J$8</f>
        <v>0</v>
      </c>
      <c r="BP29" s="28">
        <f t="shared" si="143"/>
        <v>-11415.4173786408</v>
      </c>
      <c r="BQ29" s="23">
        <f t="shared" si="144"/>
        <v>0</v>
      </c>
      <c r="BR29" s="23">
        <f t="shared" ref="BR29:BR31" si="161">2-BN29/BL29</f>
        <v>2</v>
      </c>
      <c r="BS29" s="80">
        <f t="shared" ref="BS29:BU29" si="162">BS19-BS28</f>
        <v>131192.281456311</v>
      </c>
      <c r="BT29" s="80">
        <f t="shared" si="162"/>
        <v>131192.281456311</v>
      </c>
      <c r="BU29" s="28">
        <f t="shared" si="162"/>
        <v>0</v>
      </c>
      <c r="BV29" s="28"/>
      <c r="BW29" s="33">
        <f t="shared" si="145"/>
        <v>-131192.281456311</v>
      </c>
      <c r="BX29" s="37">
        <f t="shared" si="146"/>
        <v>0</v>
      </c>
      <c r="BY29" s="31" t="e">
        <f t="shared" si="147"/>
        <v>#DIV/0!</v>
      </c>
      <c r="BZ29" s="80">
        <f t="shared" ref="BZ29:CB29" si="163">BZ19-BZ28</f>
        <v>59170.6406796116</v>
      </c>
      <c r="CA29" s="28">
        <f t="shared" si="163"/>
        <v>59170.6406796116</v>
      </c>
      <c r="CB29" s="28">
        <f t="shared" si="163"/>
        <v>0</v>
      </c>
      <c r="CC29" s="31">
        <f>CB29/$J$8</f>
        <v>0</v>
      </c>
      <c r="CD29" s="33">
        <f t="shared" si="148"/>
        <v>-59170.6406796116</v>
      </c>
      <c r="CE29" s="37">
        <f t="shared" si="149"/>
        <v>0</v>
      </c>
      <c r="CF29" s="37">
        <f>2-CB29/BZ29</f>
        <v>2</v>
      </c>
      <c r="CG29" s="80">
        <f t="shared" ref="CG29:CJ29" si="164">CG19-CG28</f>
        <v>151475.530194175</v>
      </c>
      <c r="CH29" s="80">
        <f t="shared" si="164"/>
        <v>151475.530194175</v>
      </c>
      <c r="CI29" s="28">
        <f t="shared" si="164"/>
        <v>0</v>
      </c>
      <c r="CJ29" s="28">
        <f t="shared" si="164"/>
        <v>0</v>
      </c>
      <c r="CK29" s="23" t="s">
        <v>62</v>
      </c>
      <c r="CL29" s="33">
        <f t="shared" si="150"/>
        <v>0</v>
      </c>
      <c r="CM29" s="31" t="e">
        <f t="shared" si="151"/>
        <v>#DIV/0!</v>
      </c>
    </row>
    <row r="30" s="1" customFormat="1" ht="27" spans="1:91">
      <c r="A30" s="42"/>
      <c r="B30" s="42" t="s">
        <v>148</v>
      </c>
      <c r="C30" s="42" t="s">
        <v>149</v>
      </c>
      <c r="D30" s="44" t="s">
        <v>150</v>
      </c>
      <c r="E30" s="23">
        <f t="shared" ref="E30:J30" si="165">E29/E8</f>
        <v>0.279822570444526</v>
      </c>
      <c r="F30" s="83">
        <f t="shared" si="165"/>
        <v>0.342473712742536</v>
      </c>
      <c r="G30" s="31">
        <f t="shared" si="121"/>
        <v>1.2238959573507</v>
      </c>
      <c r="H30" s="23">
        <f t="shared" si="165"/>
        <v>0.186453410433276</v>
      </c>
      <c r="I30" s="23">
        <f t="shared" si="165"/>
        <v>0.186453410433276</v>
      </c>
      <c r="J30" s="23">
        <f t="shared" si="165"/>
        <v>0.169721878789792</v>
      </c>
      <c r="K30" s="23" t="s">
        <v>62</v>
      </c>
      <c r="L30" s="84">
        <f t="shared" si="122"/>
        <v>-0.0167315316434845</v>
      </c>
      <c r="M30" s="31">
        <f t="shared" si="123"/>
        <v>0.910264276718757</v>
      </c>
      <c r="N30" s="31">
        <f t="shared" si="124"/>
        <v>0.910264276718757</v>
      </c>
      <c r="O30" s="23">
        <f t="shared" ref="O30:Q30" si="166">O29/O8</f>
        <v>0.411757504989501</v>
      </c>
      <c r="P30" s="23">
        <f t="shared" si="166"/>
        <v>0.411757504989501</v>
      </c>
      <c r="Q30" s="23">
        <f t="shared" si="166"/>
        <v>0.420027091078288</v>
      </c>
      <c r="R30" s="23" t="s">
        <v>62</v>
      </c>
      <c r="S30" s="85">
        <f t="shared" si="110"/>
        <v>0.00826958608878647</v>
      </c>
      <c r="T30" s="31">
        <f t="shared" si="125"/>
        <v>1.02008363172153</v>
      </c>
      <c r="U30" s="31">
        <f t="shared" si="126"/>
        <v>1.02008363172153</v>
      </c>
      <c r="V30" s="23">
        <f t="shared" ref="V30:X30" si="167">V29/V8</f>
        <v>0.194519941316564</v>
      </c>
      <c r="W30" s="23">
        <f t="shared" si="167"/>
        <v>0.194519941316564</v>
      </c>
      <c r="X30" s="23">
        <f t="shared" si="167"/>
        <v>0.258038606585192</v>
      </c>
      <c r="Y30" s="23" t="s">
        <v>62</v>
      </c>
      <c r="Z30" s="84">
        <f t="shared" si="127"/>
        <v>0.0635186652686276</v>
      </c>
      <c r="AA30" s="31">
        <f t="shared" si="128"/>
        <v>1.3265406355704</v>
      </c>
      <c r="AB30" s="31">
        <v>0.218577386272332</v>
      </c>
      <c r="AC30" s="23">
        <f t="shared" ref="AC30:AE30" si="168">AC29/AC8</f>
        <v>0.0386300420871395</v>
      </c>
      <c r="AD30" s="23">
        <f t="shared" si="168"/>
        <v>0.0386300420871402</v>
      </c>
      <c r="AE30" s="23" t="e">
        <f t="shared" si="168"/>
        <v>#DIV/0!</v>
      </c>
      <c r="AF30" s="23" t="s">
        <v>62</v>
      </c>
      <c r="AG30" s="83" t="e">
        <f t="shared" si="129"/>
        <v>#DIV/0!</v>
      </c>
      <c r="AH30" s="23" t="e">
        <f t="shared" si="130"/>
        <v>#DIV/0!</v>
      </c>
      <c r="AI30" s="23" t="e">
        <f t="shared" si="131"/>
        <v>#DIV/0!</v>
      </c>
      <c r="AJ30" s="23">
        <f t="shared" ref="AJ30:AL30" si="169">AJ29/AJ8</f>
        <v>0.196483822505978</v>
      </c>
      <c r="AK30" s="23">
        <f t="shared" si="169"/>
        <v>0.196483822505978</v>
      </c>
      <c r="AL30" s="23" t="e">
        <f t="shared" si="169"/>
        <v>#DIV/0!</v>
      </c>
      <c r="AM30" s="23" t="s">
        <v>62</v>
      </c>
      <c r="AN30" s="83" t="e">
        <f t="shared" si="132"/>
        <v>#DIV/0!</v>
      </c>
      <c r="AO30" s="23" t="e">
        <f t="shared" si="133"/>
        <v>#DIV/0!</v>
      </c>
      <c r="AP30" s="23" t="e">
        <f t="shared" si="134"/>
        <v>#DIV/0!</v>
      </c>
      <c r="AQ30" s="23">
        <f t="shared" ref="AQ30:AS30" si="170">AQ29/AQ8</f>
        <v>0.140965838909451</v>
      </c>
      <c r="AR30" s="23">
        <f t="shared" si="170"/>
        <v>0.140965838909451</v>
      </c>
      <c r="AS30" s="23" t="e">
        <f t="shared" si="170"/>
        <v>#DIV/0!</v>
      </c>
      <c r="AT30" s="23" t="s">
        <v>62</v>
      </c>
      <c r="AU30" s="83" t="e">
        <f t="shared" si="135"/>
        <v>#DIV/0!</v>
      </c>
      <c r="AV30" s="23" t="e">
        <f t="shared" si="136"/>
        <v>#DIV/0!</v>
      </c>
      <c r="AW30" s="23" t="e">
        <f t="shared" si="137"/>
        <v>#DIV/0!</v>
      </c>
      <c r="AX30" s="23">
        <f t="shared" ref="AX30:AZ30" si="171">AX29/AX8</f>
        <v>0.384464041082656</v>
      </c>
      <c r="AY30" s="23">
        <f t="shared" si="171"/>
        <v>0.384464041082656</v>
      </c>
      <c r="AZ30" s="23" t="e">
        <f t="shared" si="171"/>
        <v>#DIV/0!</v>
      </c>
      <c r="BA30" s="23" t="s">
        <v>62</v>
      </c>
      <c r="BB30" s="83" t="e">
        <f t="shared" si="138"/>
        <v>#DIV/0!</v>
      </c>
      <c r="BC30" s="23" t="e">
        <f t="shared" ref="BC30:BG30" si="172">BC29/BC8</f>
        <v>#DIV/0!</v>
      </c>
      <c r="BD30" s="83" t="e">
        <f t="shared" si="172"/>
        <v>#DIV/0!</v>
      </c>
      <c r="BE30" s="23">
        <f t="shared" si="172"/>
        <v>0.370993137806434</v>
      </c>
      <c r="BF30" s="23">
        <f t="shared" si="172"/>
        <v>0.370993137806434</v>
      </c>
      <c r="BG30" s="23" t="e">
        <f t="shared" si="172"/>
        <v>#DIV/0!</v>
      </c>
      <c r="BH30" s="31" t="s">
        <v>151</v>
      </c>
      <c r="BI30" s="28" t="e">
        <f t="shared" si="140"/>
        <v>#DIV/0!</v>
      </c>
      <c r="BJ30" s="23" t="e">
        <f t="shared" si="141"/>
        <v>#DIV/0!</v>
      </c>
      <c r="BK30" s="23" t="e">
        <f t="shared" si="142"/>
        <v>#DIV/0!</v>
      </c>
      <c r="BL30" s="23">
        <f t="shared" ref="BL30:BN30" si="173">BL29/BL8</f>
        <v>0.0314128161217413</v>
      </c>
      <c r="BM30" s="23">
        <f t="shared" si="173"/>
        <v>0.0314128161217413</v>
      </c>
      <c r="BN30" s="23" t="e">
        <f t="shared" si="173"/>
        <v>#DIV/0!</v>
      </c>
      <c r="BO30" s="23" t="s">
        <v>151</v>
      </c>
      <c r="BP30" s="86" t="e">
        <f t="shared" si="143"/>
        <v>#DIV/0!</v>
      </c>
      <c r="BQ30" s="23" t="e">
        <f t="shared" si="144"/>
        <v>#DIV/0!</v>
      </c>
      <c r="BR30" s="23" t="e">
        <f t="shared" si="161"/>
        <v>#DIV/0!</v>
      </c>
      <c r="BS30" s="31">
        <f t="shared" ref="BS30:BU30" si="174">BS29/BS8</f>
        <v>0.218449915839068</v>
      </c>
      <c r="BT30" s="31">
        <f t="shared" si="174"/>
        <v>0.218449915839068</v>
      </c>
      <c r="BU30" s="23" t="e">
        <f t="shared" si="174"/>
        <v>#DIV/0!</v>
      </c>
      <c r="BV30" s="23"/>
      <c r="BW30" s="23" t="s">
        <v>62</v>
      </c>
      <c r="BX30" s="84" t="e">
        <f>BV30-BU30</f>
        <v>#DIV/0!</v>
      </c>
      <c r="BY30" s="31" t="e">
        <f t="shared" si="147"/>
        <v>#DIV/0!</v>
      </c>
      <c r="BZ30" s="31">
        <f t="shared" ref="BZ30:CB30" si="175">BZ29/BZ8</f>
        <v>0.131595589092633</v>
      </c>
      <c r="CA30" s="23">
        <f t="shared" si="175"/>
        <v>0.131595589092633</v>
      </c>
      <c r="CB30" s="23" t="e">
        <f t="shared" si="175"/>
        <v>#DIV/0!</v>
      </c>
      <c r="CC30" s="23" t="s">
        <v>62</v>
      </c>
      <c r="CD30" s="31" t="e">
        <f>CC30/$J$8</f>
        <v>#VALUE!</v>
      </c>
      <c r="CE30" s="84" t="e">
        <f>CC30-CB30</f>
        <v>#VALUE!</v>
      </c>
      <c r="CF30" s="31" t="e">
        <f>CC30/CB30</f>
        <v>#VALUE!</v>
      </c>
      <c r="CG30" s="31">
        <f t="shared" ref="CG30:CJ30" si="176">CG29/CG8</f>
        <v>0.238581713961529</v>
      </c>
      <c r="CH30" s="31">
        <f t="shared" si="176"/>
        <v>0.238581713961529</v>
      </c>
      <c r="CI30" s="23" t="e">
        <f t="shared" si="176"/>
        <v>#DIV/0!</v>
      </c>
      <c r="CJ30" s="23" t="e">
        <f t="shared" si="176"/>
        <v>#DIV/0!</v>
      </c>
      <c r="CK30" s="23" t="s">
        <v>62</v>
      </c>
      <c r="CL30" s="84" t="e">
        <f t="shared" si="150"/>
        <v>#DIV/0!</v>
      </c>
      <c r="CM30" s="31" t="e">
        <f t="shared" si="151"/>
        <v>#DIV/0!</v>
      </c>
    </row>
    <row r="31" s="1" customFormat="1" ht="27" spans="1:91">
      <c r="A31" s="42"/>
      <c r="B31" s="42" t="s">
        <v>78</v>
      </c>
      <c r="C31" s="42" t="s">
        <v>88</v>
      </c>
      <c r="D31" s="44" t="s">
        <v>152</v>
      </c>
      <c r="E31" s="87">
        <f t="shared" ref="E31:J31" si="177">E28/E20</f>
        <v>27.2765296367113</v>
      </c>
      <c r="F31" s="71">
        <f t="shared" si="177"/>
        <v>10.2089016553896</v>
      </c>
      <c r="G31" s="31">
        <f t="shared" si="121"/>
        <v>0.374274212715444</v>
      </c>
      <c r="H31" s="87">
        <f t="shared" si="177"/>
        <v>27.1084337349398</v>
      </c>
      <c r="I31" s="87">
        <f t="shared" si="177"/>
        <v>27.1084337349398</v>
      </c>
      <c r="J31" s="87">
        <f t="shared" si="177"/>
        <v>25.0093898655636</v>
      </c>
      <c r="K31" s="23" t="s">
        <v>62</v>
      </c>
      <c r="L31" s="33">
        <f t="shared" si="122"/>
        <v>-2.09904386937616</v>
      </c>
      <c r="M31" s="31">
        <f t="shared" si="123"/>
        <v>0.922568603929679</v>
      </c>
      <c r="N31" s="31">
        <f t="shared" si="124"/>
        <v>0.922568603929679</v>
      </c>
      <c r="O31" s="87">
        <f t="shared" ref="O31:Q31" si="178">O28/O20</f>
        <v>35.0527215730977</v>
      </c>
      <c r="P31" s="87">
        <f t="shared" si="178"/>
        <v>35.0527215730977</v>
      </c>
      <c r="Q31" s="87">
        <f t="shared" si="178"/>
        <v>35.1273169118863</v>
      </c>
      <c r="R31" s="23" t="s">
        <v>62</v>
      </c>
      <c r="S31" s="33">
        <f t="shared" si="110"/>
        <v>0.0745953387885123</v>
      </c>
      <c r="T31" s="31">
        <f t="shared" si="125"/>
        <v>1.00212808978706</v>
      </c>
      <c r="U31" s="31">
        <f t="shared" si="126"/>
        <v>1.00212808978706</v>
      </c>
      <c r="V31" s="87">
        <f t="shared" ref="V31:X31" si="179">V28/V20</f>
        <v>23.876404494382</v>
      </c>
      <c r="W31" s="87">
        <f t="shared" si="179"/>
        <v>23.876404494382</v>
      </c>
      <c r="X31" s="87">
        <f t="shared" si="179"/>
        <v>29.8882033483054</v>
      </c>
      <c r="Y31" s="23" t="s">
        <v>62</v>
      </c>
      <c r="Z31" s="33">
        <f t="shared" si="127"/>
        <v>6.01179885392341</v>
      </c>
      <c r="AA31" s="31">
        <f t="shared" si="128"/>
        <v>1.25178828141138</v>
      </c>
      <c r="AB31" s="31">
        <v>1.31203072246272</v>
      </c>
      <c r="AC31" s="87">
        <f t="shared" ref="AC31:AE31" si="180">AC28/AC20</f>
        <v>22.8230337078652</v>
      </c>
      <c r="AD31" s="87">
        <f t="shared" si="180"/>
        <v>22.8230337078652</v>
      </c>
      <c r="AE31" s="87" t="e">
        <f t="shared" si="180"/>
        <v>#DIV/0!</v>
      </c>
      <c r="AF31" s="23" t="s">
        <v>62</v>
      </c>
      <c r="AG31" s="28" t="e">
        <f t="shared" si="129"/>
        <v>#DIV/0!</v>
      </c>
      <c r="AH31" s="23" t="e">
        <f t="shared" si="130"/>
        <v>#DIV/0!</v>
      </c>
      <c r="AI31" s="23" t="e">
        <f t="shared" si="131"/>
        <v>#DIV/0!</v>
      </c>
      <c r="AJ31" s="87">
        <f t="shared" ref="AJ31:AL31" si="181">AJ28/AJ20</f>
        <v>24.5786516853933</v>
      </c>
      <c r="AK31" s="87">
        <f t="shared" si="181"/>
        <v>24.5786516853933</v>
      </c>
      <c r="AL31" s="87" t="e">
        <f t="shared" si="181"/>
        <v>#DIV/0!</v>
      </c>
      <c r="AM31" s="23" t="s">
        <v>62</v>
      </c>
      <c r="AN31" s="28" t="e">
        <f t="shared" si="132"/>
        <v>#DIV/0!</v>
      </c>
      <c r="AO31" s="23" t="e">
        <f t="shared" si="133"/>
        <v>#DIV/0!</v>
      </c>
      <c r="AP31" s="23" t="e">
        <f t="shared" si="134"/>
        <v>#DIV/0!</v>
      </c>
      <c r="AQ31" s="88">
        <f t="shared" ref="AQ31:AS31" si="182">AQ28/AQ20</f>
        <v>22.8230337078652</v>
      </c>
      <c r="AR31" s="88">
        <f t="shared" si="182"/>
        <v>22.8230337078652</v>
      </c>
      <c r="AS31" s="88">
        <f t="shared" si="182"/>
        <v>0</v>
      </c>
      <c r="AT31" s="23" t="s">
        <v>62</v>
      </c>
      <c r="AU31" s="28">
        <f t="shared" si="135"/>
        <v>-22.8230337078652</v>
      </c>
      <c r="AV31" s="23">
        <f t="shared" si="136"/>
        <v>0</v>
      </c>
      <c r="AW31" s="23">
        <f t="shared" si="137"/>
        <v>0</v>
      </c>
      <c r="AX31" s="87">
        <f t="shared" ref="AX31:AZ31" si="183">AX28/AX20</f>
        <v>28.0898876404494</v>
      </c>
      <c r="AY31" s="87">
        <f t="shared" si="183"/>
        <v>28.0898876404494</v>
      </c>
      <c r="AZ31" s="87">
        <f t="shared" si="183"/>
        <v>0</v>
      </c>
      <c r="BA31" s="23" t="s">
        <v>62</v>
      </c>
      <c r="BB31" s="28">
        <f t="shared" si="138"/>
        <v>-28.0898876404494</v>
      </c>
      <c r="BC31" s="87">
        <f t="shared" ref="BC31:BE31" si="184">BC28/BC20</f>
        <v>0</v>
      </c>
      <c r="BD31" s="71">
        <f t="shared" si="184"/>
        <v>0</v>
      </c>
      <c r="BE31" s="87">
        <f t="shared" si="184"/>
        <v>28.5456730769231</v>
      </c>
      <c r="BF31" s="87">
        <f>BF28/BF21</f>
        <v>28.5456730769231</v>
      </c>
      <c r="BG31" s="87" t="e">
        <f>BG28/BG21</f>
        <v>#DIV/0!</v>
      </c>
      <c r="BH31" s="31" t="s">
        <v>151</v>
      </c>
      <c r="BI31" s="28" t="e">
        <f t="shared" si="140"/>
        <v>#DIV/0!</v>
      </c>
      <c r="BJ31" s="23" t="e">
        <f t="shared" si="141"/>
        <v>#DIV/0!</v>
      </c>
      <c r="BK31" s="23" t="e">
        <f t="shared" si="142"/>
        <v>#DIV/0!</v>
      </c>
      <c r="BL31" s="87">
        <f t="shared" ref="BL31:BN31" si="185">BL28/BL20</f>
        <v>22.8230337078652</v>
      </c>
      <c r="BM31" s="87">
        <f t="shared" si="185"/>
        <v>22.8230337078652</v>
      </c>
      <c r="BN31" s="87">
        <f t="shared" si="185"/>
        <v>0</v>
      </c>
      <c r="BO31" s="87" t="s">
        <v>151</v>
      </c>
      <c r="BP31" s="28">
        <f t="shared" si="143"/>
        <v>-22.8230337078652</v>
      </c>
      <c r="BQ31" s="23">
        <f t="shared" si="144"/>
        <v>0</v>
      </c>
      <c r="BR31" s="23">
        <f t="shared" si="161"/>
        <v>2</v>
      </c>
      <c r="BS31" s="87">
        <f t="shared" ref="BS31:BV31" si="186">BS28/BS20</f>
        <v>24.5786516853933</v>
      </c>
      <c r="BT31" s="87">
        <f t="shared" si="186"/>
        <v>24.5786516853933</v>
      </c>
      <c r="BU31" s="87">
        <f t="shared" si="186"/>
        <v>0</v>
      </c>
      <c r="BV31" s="87" t="e">
        <f t="shared" si="186"/>
        <v>#VALUE!</v>
      </c>
      <c r="BW31" s="23" t="s">
        <v>62</v>
      </c>
      <c r="BX31" s="33" t="e">
        <f>BV31-BU31</f>
        <v>#VALUE!</v>
      </c>
      <c r="BY31" s="31" t="e">
        <f t="shared" si="147"/>
        <v>#VALUE!</v>
      </c>
      <c r="BZ31" s="89">
        <f t="shared" ref="BZ31:CC31" si="187">BZ28/BZ20</f>
        <v>23.876404494382</v>
      </c>
      <c r="CA31" s="89">
        <f t="shared" si="187"/>
        <v>23.876404494382</v>
      </c>
      <c r="CB31" s="87">
        <f t="shared" si="187"/>
        <v>0</v>
      </c>
      <c r="CC31" s="87">
        <f t="shared" si="187"/>
        <v>0</v>
      </c>
      <c r="CD31" s="31">
        <f>CC31/$J$8</f>
        <v>0</v>
      </c>
      <c r="CE31" s="37">
        <f t="shared" si="149"/>
        <v>0</v>
      </c>
      <c r="CF31" s="37">
        <f>CB31/BZ31</f>
        <v>0</v>
      </c>
      <c r="CG31" s="87">
        <f t="shared" ref="CG31:CJ31" si="188">CG28/CG20</f>
        <v>25.2808988764045</v>
      </c>
      <c r="CH31" s="87">
        <f t="shared" si="188"/>
        <v>25.2808988764045</v>
      </c>
      <c r="CI31" s="87">
        <f t="shared" si="188"/>
        <v>0</v>
      </c>
      <c r="CJ31" s="87" t="e">
        <f t="shared" si="188"/>
        <v>#VALUE!</v>
      </c>
      <c r="CK31" s="23" t="s">
        <v>62</v>
      </c>
      <c r="CL31" s="33" t="e">
        <f t="shared" si="150"/>
        <v>#VALUE!</v>
      </c>
      <c r="CM31" s="31" t="e">
        <f t="shared" si="151"/>
        <v>#VALUE!</v>
      </c>
    </row>
    <row r="32" s="1" customFormat="1" ht="27" hidden="1" spans="1:91">
      <c r="A32" s="42"/>
      <c r="B32" s="42" t="s">
        <v>81</v>
      </c>
      <c r="C32" s="42" t="s">
        <v>153</v>
      </c>
      <c r="D32" s="44" t="s">
        <v>122</v>
      </c>
      <c r="E32" s="90">
        <v>0</v>
      </c>
      <c r="F32" s="91" t="e">
        <f>J32+#REF!+#REF!+#REF!+#REF!+#REF!+#REF!+#REF!+#REF!+#REF!+#REF!+#REF!</f>
        <v>#REF!</v>
      </c>
      <c r="G32" s="92" t="e">
        <f t="shared" si="121"/>
        <v>#REF!</v>
      </c>
      <c r="H32" s="19"/>
      <c r="I32" s="19"/>
      <c r="J32" s="19"/>
      <c r="K32" s="21" t="s">
        <v>62</v>
      </c>
      <c r="L32" s="91">
        <f t="shared" si="122"/>
        <v>0</v>
      </c>
      <c r="M32" s="93" t="e">
        <f t="shared" si="123"/>
        <v>#DIV/0!</v>
      </c>
      <c r="N32" s="19"/>
      <c r="O32" s="19"/>
      <c r="P32" s="19"/>
      <c r="Q32" s="19"/>
      <c r="R32" s="21" t="s">
        <v>62</v>
      </c>
      <c r="S32" s="91">
        <f t="shared" si="110"/>
        <v>0</v>
      </c>
      <c r="T32" s="93" t="e">
        <f t="shared" si="125"/>
        <v>#DIV/0!</v>
      </c>
      <c r="U32" s="19"/>
      <c r="V32" s="19"/>
      <c r="W32" s="19"/>
      <c r="X32" s="19"/>
      <c r="Y32" s="21" t="s">
        <v>62</v>
      </c>
      <c r="Z32" s="91">
        <f t="shared" si="127"/>
        <v>0</v>
      </c>
      <c r="AA32" s="93" t="e">
        <f t="shared" si="128"/>
        <v>#DIV/0!</v>
      </c>
      <c r="AB32" s="19"/>
      <c r="AC32" s="19"/>
      <c r="AD32" s="19"/>
      <c r="AE32" s="19"/>
      <c r="AF32" s="21" t="s">
        <v>62</v>
      </c>
      <c r="AG32" s="91">
        <f t="shared" si="129"/>
        <v>0</v>
      </c>
      <c r="AH32" s="93" t="e">
        <f t="shared" si="130"/>
        <v>#DIV/0!</v>
      </c>
      <c r="AI32" s="19"/>
      <c r="AJ32" s="19"/>
      <c r="AK32" s="19"/>
      <c r="AL32" s="19"/>
      <c r="AM32" s="21" t="s">
        <v>62</v>
      </c>
      <c r="AN32" s="91">
        <f t="shared" si="132"/>
        <v>0</v>
      </c>
      <c r="AO32" s="93" t="e">
        <f t="shared" si="133"/>
        <v>#DIV/0!</v>
      </c>
      <c r="AP32" s="19"/>
      <c r="AQ32" s="19"/>
      <c r="AR32" s="19"/>
      <c r="AS32" s="19"/>
      <c r="AT32" s="21" t="s">
        <v>62</v>
      </c>
      <c r="AU32" s="91">
        <f t="shared" si="135"/>
        <v>0</v>
      </c>
      <c r="AV32" s="93" t="e">
        <f t="shared" si="136"/>
        <v>#DIV/0!</v>
      </c>
      <c r="AW32" s="19"/>
      <c r="AX32" s="19"/>
      <c r="AY32" s="19"/>
      <c r="AZ32" s="19"/>
      <c r="BA32" s="21" t="s">
        <v>62</v>
      </c>
      <c r="BB32" s="91">
        <f t="shared" si="138"/>
        <v>0</v>
      </c>
      <c r="BC32" s="93" t="e">
        <f t="shared" si="139"/>
        <v>#DIV/0!</v>
      </c>
      <c r="BD32" s="19"/>
      <c r="BE32" s="19"/>
      <c r="BF32" s="19"/>
      <c r="BG32" s="19"/>
      <c r="BH32" s="21" t="s">
        <v>62</v>
      </c>
      <c r="BI32" s="28">
        <f t="shared" si="140"/>
        <v>0</v>
      </c>
      <c r="BJ32" s="36" t="e">
        <f t="shared" si="141"/>
        <v>#DIV/0!</v>
      </c>
      <c r="BK32" s="24"/>
      <c r="BL32" s="24"/>
      <c r="BM32" s="24"/>
      <c r="BN32" s="19"/>
      <c r="BO32" s="21" t="s">
        <v>62</v>
      </c>
      <c r="BP32" s="91">
        <f t="shared" si="143"/>
        <v>0</v>
      </c>
      <c r="BQ32" s="93" t="e">
        <f t="shared" si="144"/>
        <v>#DIV/0!</v>
      </c>
      <c r="BR32" s="19"/>
      <c r="BS32" s="19"/>
      <c r="BT32" s="19"/>
      <c r="BU32" s="19"/>
      <c r="BV32" s="21" t="s">
        <v>62</v>
      </c>
      <c r="BW32" s="91">
        <f t="shared" si="145"/>
        <v>0</v>
      </c>
      <c r="BX32" s="93" t="e">
        <f t="shared" si="146"/>
        <v>#DIV/0!</v>
      </c>
      <c r="BY32" s="19"/>
      <c r="BZ32" s="19"/>
      <c r="CA32" s="19"/>
      <c r="CB32" s="19"/>
      <c r="CC32" s="21" t="s">
        <v>62</v>
      </c>
      <c r="CD32" s="91">
        <f t="shared" si="148"/>
        <v>0</v>
      </c>
      <c r="CE32" s="93" t="e">
        <f t="shared" si="149"/>
        <v>#DIV/0!</v>
      </c>
      <c r="CF32" s="19"/>
      <c r="CG32" s="19"/>
      <c r="CH32" s="19"/>
      <c r="CI32" s="19"/>
      <c r="CJ32" s="21" t="s">
        <v>62</v>
      </c>
      <c r="CK32" s="91">
        <f>CI32-CH32</f>
        <v>0</v>
      </c>
      <c r="CL32" s="93" t="e">
        <f>CI32/CH32</f>
        <v>#DIV/0!</v>
      </c>
      <c r="CM32" s="19"/>
    </row>
    <row r="33" s="1" customFormat="1" spans="1:91">
      <c r="A33" s="94"/>
      <c r="B33" s="95"/>
      <c r="C33" s="96"/>
      <c r="D33" s="97"/>
      <c r="E33" s="98"/>
      <c r="F33" s="99"/>
      <c r="G33" s="100"/>
      <c r="H33" s="98"/>
      <c r="I33" s="98"/>
      <c r="J33" s="98"/>
      <c r="K33" s="100"/>
      <c r="L33" s="100"/>
      <c r="M33" s="100"/>
      <c r="N33" s="98"/>
      <c r="O33" s="98"/>
      <c r="P33" s="98"/>
      <c r="Q33" s="98"/>
      <c r="R33" s="100"/>
      <c r="S33" s="100"/>
      <c r="T33" s="100"/>
      <c r="U33" s="98"/>
      <c r="V33" s="98"/>
      <c r="W33" s="98"/>
      <c r="X33" s="98"/>
      <c r="Y33" s="100"/>
      <c r="Z33" s="100"/>
      <c r="AA33" s="100"/>
      <c r="AB33" s="98"/>
      <c r="AC33" s="98"/>
      <c r="AD33" s="98"/>
      <c r="AE33" s="98"/>
      <c r="AF33" s="100"/>
      <c r="AG33" s="100"/>
      <c r="AH33" s="100"/>
      <c r="AI33" s="98"/>
      <c r="AJ33" s="98"/>
      <c r="AK33" s="98"/>
      <c r="AL33" s="98"/>
      <c r="AM33" s="100"/>
      <c r="AN33" s="100"/>
      <c r="AO33" s="100"/>
      <c r="AP33" s="98"/>
      <c r="AQ33" s="98"/>
      <c r="AR33" s="98"/>
      <c r="AS33" s="98"/>
      <c r="AT33" s="100"/>
      <c r="AU33" s="100"/>
      <c r="AV33" s="100"/>
      <c r="AW33" s="98"/>
      <c r="AX33" s="98"/>
      <c r="AY33" s="98"/>
      <c r="AZ33" s="98"/>
      <c r="BA33" s="100"/>
      <c r="BB33" s="100"/>
      <c r="BC33" s="100"/>
      <c r="BD33" s="98"/>
      <c r="BE33" s="98"/>
      <c r="BF33" s="98"/>
      <c r="BG33" s="98"/>
      <c r="BH33" s="100"/>
      <c r="BI33" s="101"/>
      <c r="BJ33" s="101"/>
      <c r="BK33" s="102"/>
      <c r="BL33" s="102"/>
      <c r="BM33" s="102"/>
      <c r="BN33" s="98"/>
      <c r="BO33" s="100"/>
      <c r="BP33" s="100"/>
      <c r="BQ33" s="100"/>
      <c r="BR33" s="98"/>
      <c r="BS33" s="98"/>
      <c r="BT33" s="98"/>
      <c r="BU33" s="98"/>
      <c r="BV33" s="100"/>
      <c r="BW33" s="100"/>
      <c r="BX33" s="100"/>
      <c r="BY33" s="98"/>
      <c r="BZ33" s="98"/>
      <c r="CA33" s="98"/>
      <c r="CB33" s="98"/>
      <c r="CC33" s="100"/>
      <c r="CD33" s="100"/>
      <c r="CE33" s="100"/>
      <c r="CF33" s="98"/>
      <c r="CG33" s="98"/>
      <c r="CH33" s="98"/>
      <c r="CI33" s="98"/>
      <c r="CJ33" s="100"/>
      <c r="CK33" s="100"/>
      <c r="CL33" s="100"/>
      <c r="CM33" s="98"/>
    </row>
    <row r="36" s="1" customFormat="1" spans="1:91">
      <c r="F36" s="2"/>
      <c r="AQ36" s="1" t="s">
        <v>17</v>
      </c>
      <c r="BI36" s="3"/>
      <c r="BJ36" s="3"/>
      <c r="BK36" s="3"/>
      <c r="BL36" s="3"/>
      <c r="BM36" s="3"/>
      <c r="CI36" s="1" t="s">
        <v>17</v>
      </c>
    </row>
    <row r="37" s="1" customFormat="1" spans="1:91">
      <c r="F37" s="2"/>
      <c r="BB37" s="1" t="s">
        <v>17</v>
      </c>
      <c r="BI37" s="3"/>
      <c r="BJ37" s="3"/>
      <c r="BK37" s="3"/>
      <c r="BL37" s="3"/>
      <c r="BM37" s="3"/>
    </row>
    <row r="38" s="1" customFormat="1" spans="1:91">
      <c r="F38" s="2"/>
      <c r="V38" s="1" t="s">
        <v>17</v>
      </c>
      <c r="AB38" s="1" t="s">
        <v>17</v>
      </c>
      <c r="BI38" s="3"/>
      <c r="BJ38" s="3"/>
      <c r="BK38" s="3"/>
      <c r="BL38" s="3"/>
      <c r="BM38" s="3"/>
      <c r="BW38" s="1" t="s">
        <v>17</v>
      </c>
      <c r="CE38" s="37"/>
    </row>
    <row r="40" s="1" customFormat="1" spans="1:91">
      <c r="F40" s="2"/>
      <c r="AA40" s="1" t="s">
        <v>17</v>
      </c>
      <c r="BI40" s="3"/>
      <c r="BJ40" s="3"/>
      <c r="BK40" s="3"/>
      <c r="BL40" s="3"/>
      <c r="BM40" s="3"/>
    </row>
  </sheetData>
  <mergeCells count="23">
    <mergeCell ref="A1:G1"/>
    <mergeCell ref="D2:G2"/>
    <mergeCell ref="H2:N2"/>
    <mergeCell ref="O2:U2"/>
    <mergeCell ref="V2:AB2"/>
    <mergeCell ref="AC2:AI2"/>
    <mergeCell ref="AJ2:AP2"/>
    <mergeCell ref="AQ2:AW2"/>
    <mergeCell ref="AX2:BD2"/>
    <mergeCell ref="BE2:BK2"/>
    <mergeCell ref="BL2:BR2"/>
    <mergeCell ref="BS2:BY2"/>
    <mergeCell ref="BZ2:CF2"/>
    <mergeCell ref="CG2:CM2"/>
    <mergeCell ref="B27:G27"/>
    <mergeCell ref="A2:A3"/>
    <mergeCell ref="A4:A8"/>
    <mergeCell ref="A9:A18"/>
    <mergeCell ref="A20:A23"/>
    <mergeCell ref="A25:A26"/>
    <mergeCell ref="A28:A32"/>
    <mergeCell ref="B2:B3"/>
    <mergeCell ref="C2:C3"/>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1月核算表</vt:lpstr>
      <vt:lpstr>2月核算表</vt:lpstr>
      <vt:lpstr>3月核算表 </vt:lpstr>
      <vt:lpstr>4月核算表 </vt:lpstr>
      <vt:lpstr>5月核算表 </vt:lpstr>
      <vt:lpstr>6月核算表</vt:lpstr>
      <vt:lpstr>7月核算表 </vt:lpstr>
      <vt:lpstr>8月核算表</vt:lpstr>
      <vt:lpstr>9月核算表</vt:lpstr>
      <vt:lpstr>10月核算表 </vt:lpstr>
      <vt:lpstr>11月核算表</vt:lpstr>
      <vt:lpstr>12月核算表 </vt:lpstr>
      <vt:lpstr>推移表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香水女人</cp:lastModifiedBy>
  <dcterms:created xsi:type="dcterms:W3CDTF">2026-01-04T04:10:00Z</dcterms:created>
  <dcterms:modified xsi:type="dcterms:W3CDTF">2026-04-10T05:21:55Z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C2E7BFF076384B12A20098AAE2953C1A_11</vt:lpwstr>
  </property>
  <property fmtid="{D5CDD505-2E9C-101B-9397-08002B2CF9AE}" pid="3" name="KSOProductBuildVer">
    <vt:lpwstr>2052-12.1.0.25225</vt:lpwstr>
  </property>
  <property fmtid="{D5CDD505-2E9C-101B-9397-08002B2CF9AE}" pid="4" name="CalculationRule">
    <vt:i4>0</vt:i4>
  </property>
</Properties>
</file>